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okup_Part1_VLOOKUP" sheetId="1" state="visible" r:id="rId1"/>
  </sheets>
  <definedNames/>
  <calcPr calcId="124519" fullCalcOnLoad="1"/>
</workbook>
</file>

<file path=xl/styles.xml><?xml version="1.0" encoding="utf-8"?>
<styleSheet xmlns="http://schemas.openxmlformats.org/spreadsheetml/2006/main">
  <numFmts count="1">
    <numFmt numFmtId="164" formatCode="₹#,##0"/>
  </numFmts>
  <fonts count="8">
    <font>
      <name val="Calibri"/>
      <family val="2"/>
      <color theme="1"/>
      <sz val="11"/>
      <scheme val="minor"/>
    </font>
    <font>
      <b val="1"/>
      <color rgb="001F4E79"/>
      <sz val="14"/>
    </font>
    <font>
      <b val="1"/>
      <color rgb="001F4E79"/>
      <sz val="11"/>
    </font>
    <font>
      <name val="Calibri"/>
      <b val="1"/>
      <color rgb="00FFFFFF"/>
      <sz val="11"/>
    </font>
    <font>
      <b val="1"/>
    </font>
    <font>
      <b val="1"/>
      <color rgb="00006100"/>
    </font>
    <font>
      <b val="1"/>
      <color rgb="00C00000"/>
      <sz val="11"/>
    </font>
    <font>
      <i val="1"/>
    </font>
  </fonts>
  <fills count="6">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9FAFB"/>
        <bgColor rgb="00F9FAFB"/>
      </patternFill>
    </fill>
    <fill>
      <patternFill patternType="solid">
        <fgColor rgb="002F5597"/>
        <bgColor rgb="002F5597"/>
      </patternFill>
    </fill>
  </fills>
  <borders count="3">
    <border>
      <left/>
      <right/>
      <top/>
      <bottom/>
      <diagonal/>
    </border>
    <border>
      <left style="thin">
        <color rgb="00D9D9D9"/>
      </left>
      <right style="thin">
        <color rgb="00D9D9D9"/>
      </right>
      <top style="thin">
        <color rgb="00D9D9D9"/>
      </top>
      <bottom style="medium">
        <color rgb="001F4E79"/>
      </bottom>
    </border>
    <border>
      <left style="thin">
        <color rgb="00E0E0E0"/>
      </left>
      <right style="thin">
        <color rgb="00E0E0E0"/>
      </right>
      <top style="thin">
        <color rgb="00E0E0E0"/>
      </top>
      <bottom style="thin">
        <color rgb="00E0E0E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5" borderId="1" applyAlignment="1" pivotButton="0" quotePrefix="0" xfId="0">
      <alignment horizontal="center" vertical="center" wrapText="1"/>
    </xf>
    <xf numFmtId="9" fontId="0" fillId="3" borderId="2" applyAlignment="1" pivotButton="0" quotePrefix="0" xfId="0">
      <alignment vertical="center"/>
    </xf>
    <xf numFmtId="0" fontId="0" fillId="3" borderId="2" applyAlignment="1" pivotButton="0" quotePrefix="0" xfId="0">
      <alignment vertical="center"/>
    </xf>
    <xf numFmtId="164" fontId="0" fillId="3" borderId="2" applyAlignment="1" pivotButton="0" quotePrefix="0" xfId="0">
      <alignment vertical="center"/>
    </xf>
    <xf numFmtId="0" fontId="4" fillId="0" borderId="0" pivotButton="0" quotePrefix="0" xfId="0"/>
    <xf numFmtId="164" fontId="5" fillId="0" borderId="0" pivotButton="0" quotePrefix="0" xfId="0"/>
    <xf numFmtId="9" fontId="0" fillId="4" borderId="2" applyAlignment="1" pivotButton="0" quotePrefix="0" xfId="0">
      <alignment vertical="center"/>
    </xf>
    <xf numFmtId="0" fontId="0" fillId="4" borderId="2" applyAlignment="1" pivotButton="0" quotePrefix="0" xfId="0">
      <alignment vertical="center"/>
    </xf>
    <xf numFmtId="164" fontId="0" fillId="4" borderId="2" applyAlignment="1" pivotButton="0" quotePrefix="0" xfId="0">
      <alignment vertical="center"/>
    </xf>
    <xf numFmtId="0" fontId="6" fillId="0" borderId="0" pivotButton="0" quotePrefix="0" xfId="0"/>
    <xf numFmtId="9" fontId="5" fillId="0" borderId="0" pivotButton="0" quotePrefix="0" xfId="0"/>
    <xf numFmtId="0" fontId="3" fillId="2" borderId="1" applyAlignment="1" pivotButton="0" quotePrefix="0" xfId="0">
      <alignment horizontal="center" vertical="center" wrapText="1"/>
    </xf>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27" customWidth="1" min="1" max="1"/>
    <col width="24" customWidth="1" min="2" max="2"/>
    <col width="50" customWidth="1" min="3" max="3"/>
    <col width="32" customWidth="1" min="4" max="4"/>
    <col width="14" customWidth="1" min="5" max="5"/>
    <col width="72" customWidth="1" min="6" max="6"/>
    <col width="46" customWidth="1" min="7" max="7"/>
    <col width="16" customWidth="1" min="8" max="8"/>
    <col width="14" customWidth="1" min="9" max="9"/>
  </cols>
  <sheetData>
    <row r="1">
      <c r="A1" s="1" t="inlineStr">
        <is>
          <t>Session 9: Classic Lookup Functions (VLOOKUP, HLOOKUP &amp; Limitations)</t>
        </is>
      </c>
    </row>
    <row r="2"/>
    <row r="3">
      <c r="A3" s="2" t="inlineStr">
        <is>
          <t>Task 1 &amp; 4 Table: Products Master</t>
        </is>
      </c>
    </row>
    <row r="4">
      <c r="A4" s="3" t="inlineStr">
        <is>
          <t>Discount</t>
        </is>
      </c>
      <c r="B4" s="3" t="inlineStr">
        <is>
          <t>Product Name</t>
        </is>
      </c>
      <c r="C4" s="3" t="inlineStr">
        <is>
          <t>Category</t>
        </is>
      </c>
      <c r="D4" s="3" t="inlineStr">
        <is>
          <t>Selling Price (₹)</t>
        </is>
      </c>
      <c r="E4" s="3" t="n"/>
      <c r="F4" s="3" t="inlineStr">
        <is>
          <t>Task 1: Enter Product Name</t>
        </is>
      </c>
      <c r="G4" s="3" t="inlineStr">
        <is>
          <t>Fetched Price (=VLOOKUP(F5,B5:D14,3,FALSE))</t>
        </is>
      </c>
    </row>
    <row r="5">
      <c r="A5" s="4" t="n">
        <v>0.1</v>
      </c>
      <c r="B5" s="5" t="inlineStr">
        <is>
          <t>Apple iPhone 15</t>
        </is>
      </c>
      <c r="C5" s="5" t="inlineStr">
        <is>
          <t>Mobiles</t>
        </is>
      </c>
      <c r="D5" s="6" t="n">
        <v>71999</v>
      </c>
      <c r="F5" s="7" t="inlineStr">
        <is>
          <t>Dell XPS 15</t>
        </is>
      </c>
      <c r="G5" s="8">
        <f>VLOOKUP(F5,B5:D14,3,FALSE)</f>
        <v/>
      </c>
    </row>
    <row r="6">
      <c r="A6" s="9" t="n">
        <v>0.15</v>
      </c>
      <c r="B6" s="10" t="inlineStr">
        <is>
          <t>Samsung S24 Ultra</t>
        </is>
      </c>
      <c r="C6" s="10" t="inlineStr">
        <is>
          <t>Mobiles</t>
        </is>
      </c>
      <c r="D6" s="11" t="n">
        <v>129999</v>
      </c>
    </row>
    <row r="7">
      <c r="A7" s="4" t="n">
        <v>0.08</v>
      </c>
      <c r="B7" s="5" t="inlineStr">
        <is>
          <t>Sony WH-1000XM5</t>
        </is>
      </c>
      <c r="C7" s="5" t="inlineStr">
        <is>
          <t>Audio</t>
        </is>
      </c>
      <c r="D7" s="6" t="n">
        <v>28990</v>
      </c>
    </row>
    <row r="8">
      <c r="A8" s="9" t="n">
        <v>0.12</v>
      </c>
      <c r="B8" s="10" t="inlineStr">
        <is>
          <t>Dell XPS 15</t>
        </is>
      </c>
      <c r="C8" s="10" t="inlineStr">
        <is>
          <t>Laptops</t>
        </is>
      </c>
      <c r="D8" s="11" t="n">
        <v>145000</v>
      </c>
      <c r="F8" s="12" t="inlineStr">
        <is>
          <t>Task 4: Limitation Demo (Leftward Lookup for Discount)</t>
        </is>
      </c>
    </row>
    <row r="9">
      <c r="A9" s="4" t="n">
        <v>0.2</v>
      </c>
      <c r="B9" s="5" t="inlineStr">
        <is>
          <t>OnePlus 12</t>
        </is>
      </c>
      <c r="C9" s="5" t="inlineStr">
        <is>
          <t>Mobiles</t>
        </is>
      </c>
      <c r="D9" s="6" t="n">
        <v>64999</v>
      </c>
      <c r="F9" t="inlineStr">
        <is>
          <t>VLOOKUP to left will fail or require rearranging:</t>
        </is>
      </c>
    </row>
    <row r="10">
      <c r="A10" s="9" t="n">
        <v>0.05</v>
      </c>
      <c r="B10" s="10" t="inlineStr">
        <is>
          <t>Apple Watch Ultra 2</t>
        </is>
      </c>
      <c r="C10" s="10" t="inlineStr">
        <is>
          <t>Wearables</t>
        </is>
      </c>
      <c r="D10" s="11" t="n">
        <v>84900</v>
      </c>
      <c r="F10" s="7" t="inlineStr">
        <is>
          <t>Clean Solution using INDEX+MATCH (=INDEX(A5:A14,MATCH(F5,B5:B14,0))):</t>
        </is>
      </c>
      <c r="G10" s="13">
        <f>INDEX(A5:A14,MATCH(F5,B5:B14,0))</f>
        <v/>
      </c>
    </row>
    <row r="11">
      <c r="A11" s="4" t="n">
        <v>0.18</v>
      </c>
      <c r="B11" s="5" t="inlineStr">
        <is>
          <t>iPad Air M2</t>
        </is>
      </c>
      <c r="C11" s="5" t="inlineStr">
        <is>
          <t>Tablets</t>
        </is>
      </c>
      <c r="D11" s="6" t="n">
        <v>59900</v>
      </c>
    </row>
    <row r="12">
      <c r="A12" s="9" t="n">
        <v>0.25</v>
      </c>
      <c r="B12" s="10" t="inlineStr">
        <is>
          <t>Logitech MX Master 3S</t>
        </is>
      </c>
      <c r="C12" s="10" t="inlineStr">
        <is>
          <t>Accessories</t>
        </is>
      </c>
      <c r="D12" s="11" t="n">
        <v>9495</v>
      </c>
    </row>
    <row r="13">
      <c r="A13" s="4" t="n">
        <v>0.1</v>
      </c>
      <c r="B13" s="5" t="inlineStr">
        <is>
          <t>Kindle Paperwhite</t>
        </is>
      </c>
      <c r="C13" s="5" t="inlineStr">
        <is>
          <t>E-Readers</t>
        </is>
      </c>
      <c r="D13" s="6" t="n">
        <v>14999</v>
      </c>
    </row>
    <row r="14">
      <c r="A14" s="9" t="n">
        <v>0.3</v>
      </c>
      <c r="B14" s="10" t="inlineStr">
        <is>
          <t>Bose QuietComfort</t>
        </is>
      </c>
      <c r="C14" s="10" t="inlineStr">
        <is>
          <t>Audio</t>
        </is>
      </c>
      <c r="D14" s="11" t="n">
        <v>24500</v>
      </c>
    </row>
    <row r="15"/>
    <row r="16"/>
    <row r="17">
      <c r="A17" s="2" t="inlineStr">
        <is>
          <t>Task 2: Zomato Horizontal Menu &amp; HLOOKUP</t>
        </is>
      </c>
    </row>
    <row r="18">
      <c r="A18" s="14" t="inlineStr">
        <is>
          <t>Dish Name</t>
        </is>
      </c>
      <c r="B18" s="14" t="inlineStr">
        <is>
          <t>Paneer Tikka</t>
        </is>
      </c>
      <c r="C18" s="14" t="inlineStr">
        <is>
          <t>Butter Chicken</t>
        </is>
      </c>
      <c r="D18" s="14" t="inlineStr">
        <is>
          <t>Dal Makhani</t>
        </is>
      </c>
      <c r="E18" s="14" t="inlineStr">
        <is>
          <t>Veg Biryani</t>
        </is>
      </c>
      <c r="F18" s="14" t="inlineStr">
        <is>
          <t>Masala Dosa</t>
        </is>
      </c>
      <c r="G18" s="14" t="inlineStr">
        <is>
          <t>Garlic Naan</t>
        </is>
      </c>
      <c r="H18" s="14" t="inlineStr">
        <is>
          <t>Tandoori Roti</t>
        </is>
      </c>
      <c r="I18" s="14" t="inlineStr">
        <is>
          <t>Gulab Jamun</t>
        </is>
      </c>
    </row>
    <row r="19">
      <c r="A19" s="5" t="inlineStr">
        <is>
          <t>Rating (1-5)</t>
        </is>
      </c>
      <c r="B19" s="5" t="n">
        <v>4.5</v>
      </c>
      <c r="C19" s="5" t="n">
        <v>4.8</v>
      </c>
      <c r="D19" s="5" t="n">
        <v>4.3</v>
      </c>
      <c r="E19" s="5" t="n">
        <v>4.6</v>
      </c>
      <c r="F19" s="5" t="n">
        <v>4.2</v>
      </c>
      <c r="G19" s="5" t="n">
        <v>4.4</v>
      </c>
      <c r="H19" s="5" t="n">
        <v>4</v>
      </c>
      <c r="I19" s="5" t="n">
        <v>4.9</v>
      </c>
    </row>
    <row r="20"/>
    <row r="21">
      <c r="A21" s="7" t="inlineStr">
        <is>
          <t>Select Dish for HLOOKUP:</t>
        </is>
      </c>
      <c r="B21" s="7" t="inlineStr">
        <is>
          <t>Butter Chicken</t>
        </is>
      </c>
      <c r="C21" s="7" t="inlineStr">
        <is>
          <t>HLOOKUP Result (=HLOOKUP(B21,B18:I19,2,FALSE)):</t>
        </is>
      </c>
      <c r="D21" s="15">
        <f>HLOOKUP(B21,B18:I19,2,FALSE)</f>
        <v/>
      </c>
    </row>
    <row r="22"/>
    <row r="23"/>
    <row r="24">
      <c r="A24" s="2" t="inlineStr">
        <is>
          <t>Task 3: Approximate Match (TRUE) Analysis for Unsorted Data</t>
        </is>
      </c>
    </row>
    <row r="25">
      <c r="A25" s="16" t="inlineStr">
        <is>
          <t>When range_lookup is TRUE, VLOOKUP assumes the lookup column is sorted in ascending order. If an unsorted list of Instagram usernames is queried with approximate match, Excel performs binary search traversal and returns completely erroneous mobile numbers instead of throwing #N/A. Exact match (FALSE) must strictly be used.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2026-09-02T06:19:06Z</dcterms:created>
  <dcterms:modified xmlns:dcterms="http://purl.org/dc/terms/" xmlns:xsi="http://www.w3.org/2001/XMLSchema-instance" xsi:type="dcterms:W3CDTF">2026-09-02T06:19:06Z</dcterms:modified>
</cp:coreProperties>
</file>