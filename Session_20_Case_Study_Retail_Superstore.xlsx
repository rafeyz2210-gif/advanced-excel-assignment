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9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9" fontId="0" fillId="5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53" customWidth="1" min="8" max="8"/>
  </cols>
  <sheetData>
    <row r="1">
      <c r="A1" s="1" t="inlineStr">
        <is>
          <t>Superstore Retail Sales &amp; Profit Analysis</t>
        </is>
      </c>
    </row>
    <row r="2"/>
    <row r="3"/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CA-2024-1001</t>
        </is>
      </c>
      <c r="B5" s="3" t="inlineStr">
        <is>
          <t>West</t>
        </is>
      </c>
      <c r="C5" s="3" t="inlineStr">
        <is>
          <t>Technology</t>
        </is>
      </c>
      <c r="D5" s="3" t="inlineStr">
        <is>
          <t>Copiers</t>
        </is>
      </c>
      <c r="E5" s="4" t="n">
        <v>85000</v>
      </c>
      <c r="F5" s="5" t="n">
        <v>0.1</v>
      </c>
      <c r="G5" s="4" t="n">
        <v>24000</v>
      </c>
      <c r="H5" s="3">
        <f>IF(AND(F5&gt;0.2, G5&lt;0), "FLAG: Heavy Loss", "OK")</f>
        <v/>
      </c>
    </row>
    <row r="6">
      <c r="A6" s="6" t="inlineStr">
        <is>
          <t>CA-2024-1002</t>
        </is>
      </c>
      <c r="B6" s="6" t="inlineStr">
        <is>
          <t>West</t>
        </is>
      </c>
      <c r="C6" s="6" t="inlineStr">
        <is>
          <t>Technology</t>
        </is>
      </c>
      <c r="D6" s="6" t="inlineStr">
        <is>
          <t>Phones</t>
        </is>
      </c>
      <c r="E6" s="7" t="n">
        <v>42000</v>
      </c>
      <c r="F6" s="8" t="n">
        <v>0.15</v>
      </c>
      <c r="G6" s="7" t="n">
        <v>8500</v>
      </c>
      <c r="H6" s="6">
        <f>IF(AND(F6&gt;0.2, G6&lt;0), "FLAG: Heavy Loss", "OK")</f>
        <v/>
      </c>
    </row>
    <row r="7">
      <c r="A7" s="3" t="inlineStr">
        <is>
          <t>CA-2024-1003</t>
        </is>
      </c>
      <c r="B7" s="3" t="inlineStr">
        <is>
          <t>East</t>
        </is>
      </c>
      <c r="C7" s="3" t="inlineStr">
        <is>
          <t>Furniture</t>
        </is>
      </c>
      <c r="D7" s="3" t="inlineStr">
        <is>
          <t>Tables</t>
        </is>
      </c>
      <c r="E7" s="4" t="n">
        <v>31000</v>
      </c>
      <c r="F7" s="5" t="n">
        <v>0.3</v>
      </c>
      <c r="G7" s="9" t="n">
        <v>-5200</v>
      </c>
      <c r="H7" s="10">
        <f>IF(AND(F7&gt;0.2, G7&lt;0), "FLAG: Heavy Loss", "OK")</f>
        <v/>
      </c>
    </row>
    <row r="8">
      <c r="A8" s="6" t="inlineStr">
        <is>
          <t>CA-2024-1004</t>
        </is>
      </c>
      <c r="B8" s="6" t="inlineStr">
        <is>
          <t>Central</t>
        </is>
      </c>
      <c r="C8" s="6" t="inlineStr">
        <is>
          <t>Furniture</t>
        </is>
      </c>
      <c r="D8" s="6" t="inlineStr">
        <is>
          <t>Bookcases</t>
        </is>
      </c>
      <c r="E8" s="7" t="n">
        <v>22000</v>
      </c>
      <c r="F8" s="8" t="n">
        <v>0.25</v>
      </c>
      <c r="G8" s="9" t="n">
        <v>-2800</v>
      </c>
      <c r="H8" s="11">
        <f>IF(AND(F8&gt;0.2, G8&lt;0), "FLAG: Heavy Loss", "OK")</f>
        <v/>
      </c>
    </row>
    <row r="9">
      <c r="A9" s="3" t="inlineStr">
        <is>
          <t>CA-2024-1005</t>
        </is>
      </c>
      <c r="B9" s="3" t="inlineStr">
        <is>
          <t>South</t>
        </is>
      </c>
      <c r="C9" s="3" t="inlineStr">
        <is>
          <t>Technology</t>
        </is>
      </c>
      <c r="D9" s="3" t="inlineStr">
        <is>
          <t>Accessories</t>
        </is>
      </c>
      <c r="E9" s="4" t="n">
        <v>18500</v>
      </c>
      <c r="F9" s="5" t="n">
        <v>0.05</v>
      </c>
      <c r="G9" s="4" t="n">
        <v>4900</v>
      </c>
      <c r="H9" s="3">
        <f>IF(AND(F9&gt;0.2, G9&lt;0), "FLAG: Heavy Loss", "OK")</f>
        <v/>
      </c>
    </row>
    <row r="10">
      <c r="A10" s="6" t="inlineStr">
        <is>
          <t>CA-2024-1006</t>
        </is>
      </c>
      <c r="B10" s="6" t="inlineStr">
        <is>
          <t>West</t>
        </is>
      </c>
      <c r="C10" s="6" t="inlineStr">
        <is>
          <t>Office Supplies</t>
        </is>
      </c>
      <c r="D10" s="6" t="inlineStr">
        <is>
          <t>Binders</t>
        </is>
      </c>
      <c r="E10" s="7" t="n">
        <v>9400</v>
      </c>
      <c r="F10" s="8" t="n">
        <v>0.2</v>
      </c>
      <c r="G10" s="7" t="n">
        <v>2100</v>
      </c>
      <c r="H10" s="6">
        <f>IF(AND(F10&gt;0.2, G10&lt;0), "FLAG: Heavy Loss", "OK")</f>
        <v/>
      </c>
    </row>
    <row r="11">
      <c r="A11" s="3" t="inlineStr">
        <is>
          <t>CA-2024-1007</t>
        </is>
      </c>
      <c r="B11" s="3" t="inlineStr">
        <is>
          <t>East</t>
        </is>
      </c>
      <c r="C11" s="3" t="inlineStr">
        <is>
          <t>Technology</t>
        </is>
      </c>
      <c r="D11" s="3" t="inlineStr">
        <is>
          <t>Phones</t>
        </is>
      </c>
      <c r="E11" s="4" t="n">
        <v>54000</v>
      </c>
      <c r="F11" s="5" t="n">
        <v>0.1</v>
      </c>
      <c r="G11" s="4" t="n">
        <v>11200</v>
      </c>
      <c r="H11" s="3">
        <f>IF(AND(F11&gt;0.2, G11&lt;0), "FLAG: Heavy Loss", "OK")</f>
        <v/>
      </c>
    </row>
    <row r="12">
      <c r="A12" s="6" t="inlineStr">
        <is>
          <t>CA-2024-1008</t>
        </is>
      </c>
      <c r="B12" s="6" t="inlineStr">
        <is>
          <t>Central</t>
        </is>
      </c>
      <c r="C12" s="6" t="inlineStr">
        <is>
          <t>Furniture</t>
        </is>
      </c>
      <c r="D12" s="6" t="inlineStr">
        <is>
          <t>Tables</t>
        </is>
      </c>
      <c r="E12" s="7" t="n">
        <v>29000</v>
      </c>
      <c r="F12" s="8" t="n">
        <v>0.35</v>
      </c>
      <c r="G12" s="9" t="n">
        <v>-6400</v>
      </c>
      <c r="H12" s="11">
        <f>IF(AND(F12&gt;0.2, G12&lt;0), "FLAG: Heavy Loss", 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