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_Data" sheetId="1" state="visible" r:id="rId1"/>
    <sheet xmlns:r="http://schemas.openxmlformats.org/officeDocument/2006/relationships" name="Pivot_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  <font>
      <b val="1"/>
      <color rgb="001F4E79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134E5E"/>
        <bgColor rgb="00134E5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3" fontId="0" fillId="3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164" fontId="4" fillId="3" borderId="2" applyAlignment="1" pivotButton="0" quotePrefix="0" xfId="0">
      <alignment vertical="center"/>
    </xf>
    <xf numFmtId="3" fontId="4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165" fontId="0" fillId="4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3" fontId="4" fillId="4" borderId="2" applyAlignment="1" pivotButton="0" quotePrefix="0" xfId="0">
      <alignment vertical="center"/>
    </xf>
    <xf numFmtId="165" fontId="4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Food Delivery Orders Dataset (50 Records)</t>
        </is>
      </c>
    </row>
    <row r="2"/>
    <row r="3">
      <c r="A3" s="2" t="inlineStr">
        <is>
          <t>Order ID</t>
        </is>
      </c>
      <c r="B3" s="2" t="inlineStr">
        <is>
          <t>Restaurant</t>
        </is>
      </c>
      <c r="C3" s="2" t="inlineStr">
        <is>
          <t>City</t>
        </is>
      </c>
      <c r="D3" s="2" t="inlineStr">
        <is>
          <t>Delivery Partner</t>
        </is>
      </c>
      <c r="E3" s="2" t="inlineStr">
        <is>
          <t>Amount (₹)</t>
        </is>
      </c>
    </row>
    <row r="4">
      <c r="A4" s="3" t="inlineStr">
        <is>
          <t>ORD-1001</t>
        </is>
      </c>
      <c r="B4" s="3" t="inlineStr">
        <is>
          <t>Gwalia</t>
        </is>
      </c>
      <c r="C4" s="3" t="inlineStr">
        <is>
          <t>Surat</t>
        </is>
      </c>
      <c r="D4" s="3" t="inlineStr">
        <is>
          <t>Zomato</t>
        </is>
      </c>
      <c r="E4" s="4" t="n">
        <v>1559</v>
      </c>
    </row>
    <row r="5">
      <c r="A5" s="5" t="inlineStr">
        <is>
          <t>ORD-1002</t>
        </is>
      </c>
      <c r="B5" s="5" t="inlineStr">
        <is>
          <t>Tomatoes</t>
        </is>
      </c>
      <c r="C5" s="5" t="inlineStr">
        <is>
          <t>Vadodara</t>
        </is>
      </c>
      <c r="D5" s="5" t="inlineStr">
        <is>
          <t>Shadowfax</t>
        </is>
      </c>
      <c r="E5" s="6" t="n">
        <v>478</v>
      </c>
    </row>
    <row r="6">
      <c r="A6" s="3" t="inlineStr">
        <is>
          <t>ORD-1003</t>
        </is>
      </c>
      <c r="B6" s="3" t="inlineStr">
        <is>
          <t>Sankalp</t>
        </is>
      </c>
      <c r="C6" s="3" t="inlineStr">
        <is>
          <t>Rajkot</t>
        </is>
      </c>
      <c r="D6" s="3" t="inlineStr">
        <is>
          <t>Dunzo</t>
        </is>
      </c>
      <c r="E6" s="4" t="n">
        <v>301</v>
      </c>
    </row>
    <row r="7">
      <c r="A7" s="5" t="inlineStr">
        <is>
          <t>ORD-1004</t>
        </is>
      </c>
      <c r="B7" s="5" t="inlineStr">
        <is>
          <t>Mocha</t>
        </is>
      </c>
      <c r="C7" s="5" t="inlineStr">
        <is>
          <t>Ahmedabad</t>
        </is>
      </c>
      <c r="D7" s="5" t="inlineStr">
        <is>
          <t>Swiggy</t>
        </is>
      </c>
      <c r="E7" s="6" t="n">
        <v>1768</v>
      </c>
    </row>
    <row r="8">
      <c r="A8" s="3" t="inlineStr">
        <is>
          <t>ORD-1005</t>
        </is>
      </c>
      <c r="B8" s="3" t="inlineStr">
        <is>
          <t>Mirch Masala</t>
        </is>
      </c>
      <c r="C8" s="3" t="inlineStr">
        <is>
          <t>Surat</t>
        </is>
      </c>
      <c r="D8" s="3" t="inlineStr">
        <is>
          <t>Zomato</t>
        </is>
      </c>
      <c r="E8" s="4" t="n">
        <v>813</v>
      </c>
    </row>
    <row r="9">
      <c r="A9" s="5" t="inlineStr">
        <is>
          <t>ORD-1006</t>
        </is>
      </c>
      <c r="B9" s="5" t="inlineStr">
        <is>
          <t>Burger King</t>
        </is>
      </c>
      <c r="C9" s="5" t="inlineStr">
        <is>
          <t>Vadodara</t>
        </is>
      </c>
      <c r="D9" s="5" t="inlineStr">
        <is>
          <t>Shadowfax</t>
        </is>
      </c>
      <c r="E9" s="6" t="n">
        <v>751</v>
      </c>
    </row>
    <row r="10">
      <c r="A10" s="3" t="inlineStr">
        <is>
          <t>ORD-1007</t>
        </is>
      </c>
      <c r="B10" s="3" t="inlineStr">
        <is>
          <t>Subway</t>
        </is>
      </c>
      <c r="C10" s="3" t="inlineStr">
        <is>
          <t>Rajkot</t>
        </is>
      </c>
      <c r="D10" s="3" t="inlineStr">
        <is>
          <t>Dunzo</t>
        </is>
      </c>
      <c r="E10" s="4" t="n">
        <v>707</v>
      </c>
    </row>
    <row r="11">
      <c r="A11" s="5" t="inlineStr">
        <is>
          <t>ORD-1008</t>
        </is>
      </c>
      <c r="B11" s="5" t="inlineStr">
        <is>
          <t>Honest</t>
        </is>
      </c>
      <c r="C11" s="5" t="inlineStr">
        <is>
          <t>Ahmedabad</t>
        </is>
      </c>
      <c r="D11" s="5" t="inlineStr">
        <is>
          <t>Swiggy</t>
        </is>
      </c>
      <c r="E11" s="6" t="n">
        <v>535</v>
      </c>
    </row>
    <row r="12">
      <c r="A12" s="3" t="inlineStr">
        <is>
          <t>ORD-1009</t>
        </is>
      </c>
      <c r="B12" s="3" t="inlineStr">
        <is>
          <t>Gwalia</t>
        </is>
      </c>
      <c r="C12" s="3" t="inlineStr">
        <is>
          <t>Surat</t>
        </is>
      </c>
      <c r="D12" s="3" t="inlineStr">
        <is>
          <t>Zomato</t>
        </is>
      </c>
      <c r="E12" s="4" t="n">
        <v>1758</v>
      </c>
    </row>
    <row r="13">
      <c r="A13" s="5" t="inlineStr">
        <is>
          <t>ORD-1010</t>
        </is>
      </c>
      <c r="B13" s="5" t="inlineStr">
        <is>
          <t>Tomatoes</t>
        </is>
      </c>
      <c r="C13" s="5" t="inlineStr">
        <is>
          <t>Vadodara</t>
        </is>
      </c>
      <c r="D13" s="5" t="inlineStr">
        <is>
          <t>Shadowfax</t>
        </is>
      </c>
      <c r="E13" s="6" t="n">
        <v>459</v>
      </c>
    </row>
    <row r="14">
      <c r="A14" s="3" t="inlineStr">
        <is>
          <t>ORD-1011</t>
        </is>
      </c>
      <c r="B14" s="3" t="inlineStr">
        <is>
          <t>Sankalp</t>
        </is>
      </c>
      <c r="C14" s="3" t="inlineStr">
        <is>
          <t>Rajkot</t>
        </is>
      </c>
      <c r="D14" s="3" t="inlineStr">
        <is>
          <t>Dunzo</t>
        </is>
      </c>
      <c r="E14" s="4" t="n">
        <v>1635</v>
      </c>
    </row>
    <row r="15">
      <c r="A15" s="5" t="inlineStr">
        <is>
          <t>ORD-1012</t>
        </is>
      </c>
      <c r="B15" s="5" t="inlineStr">
        <is>
          <t>Mocha</t>
        </is>
      </c>
      <c r="C15" s="5" t="inlineStr">
        <is>
          <t>Ahmedabad</t>
        </is>
      </c>
      <c r="D15" s="5" t="inlineStr">
        <is>
          <t>Swiggy</t>
        </is>
      </c>
      <c r="E15" s="6" t="n">
        <v>1766</v>
      </c>
    </row>
    <row r="16">
      <c r="A16" s="3" t="inlineStr">
        <is>
          <t>ORD-1013</t>
        </is>
      </c>
      <c r="B16" s="3" t="inlineStr">
        <is>
          <t>Mirch Masala</t>
        </is>
      </c>
      <c r="C16" s="3" t="inlineStr">
        <is>
          <t>Surat</t>
        </is>
      </c>
      <c r="D16" s="3" t="inlineStr">
        <is>
          <t>Zomato</t>
        </is>
      </c>
      <c r="E16" s="4" t="n">
        <v>1366</v>
      </c>
    </row>
    <row r="17">
      <c r="A17" s="5" t="inlineStr">
        <is>
          <t>ORD-1014</t>
        </is>
      </c>
      <c r="B17" s="5" t="inlineStr">
        <is>
          <t>Burger King</t>
        </is>
      </c>
      <c r="C17" s="5" t="inlineStr">
        <is>
          <t>Vadodara</t>
        </is>
      </c>
      <c r="D17" s="5" t="inlineStr">
        <is>
          <t>Shadowfax</t>
        </is>
      </c>
      <c r="E17" s="6" t="n">
        <v>428</v>
      </c>
    </row>
    <row r="18">
      <c r="A18" s="3" t="inlineStr">
        <is>
          <t>ORD-1015</t>
        </is>
      </c>
      <c r="B18" s="3" t="inlineStr">
        <is>
          <t>Subway</t>
        </is>
      </c>
      <c r="C18" s="3" t="inlineStr">
        <is>
          <t>Rajkot</t>
        </is>
      </c>
      <c r="D18" s="3" t="inlineStr">
        <is>
          <t>Dunzo</t>
        </is>
      </c>
      <c r="E18" s="4" t="n">
        <v>1459</v>
      </c>
    </row>
    <row r="19">
      <c r="A19" s="5" t="inlineStr">
        <is>
          <t>ORD-1016</t>
        </is>
      </c>
      <c r="B19" s="5" t="inlineStr">
        <is>
          <t>Honest</t>
        </is>
      </c>
      <c r="C19" s="5" t="inlineStr">
        <is>
          <t>Ahmedabad</t>
        </is>
      </c>
      <c r="D19" s="5" t="inlineStr">
        <is>
          <t>Swiggy</t>
        </is>
      </c>
      <c r="E19" s="6" t="n">
        <v>1114</v>
      </c>
    </row>
    <row r="20">
      <c r="A20" s="3" t="inlineStr">
        <is>
          <t>ORD-1017</t>
        </is>
      </c>
      <c r="B20" s="3" t="inlineStr">
        <is>
          <t>Gwalia</t>
        </is>
      </c>
      <c r="C20" s="3" t="inlineStr">
        <is>
          <t>Surat</t>
        </is>
      </c>
      <c r="D20" s="3" t="inlineStr">
        <is>
          <t>Zomato</t>
        </is>
      </c>
      <c r="E20" s="4" t="n">
        <v>315</v>
      </c>
    </row>
    <row r="21">
      <c r="A21" s="5" t="inlineStr">
        <is>
          <t>ORD-1018</t>
        </is>
      </c>
      <c r="B21" s="5" t="inlineStr">
        <is>
          <t>Tomatoes</t>
        </is>
      </c>
      <c r="C21" s="5" t="inlineStr">
        <is>
          <t>Vadodara</t>
        </is>
      </c>
      <c r="D21" s="5" t="inlineStr">
        <is>
          <t>Shadowfax</t>
        </is>
      </c>
      <c r="E21" s="6" t="n">
        <v>311</v>
      </c>
    </row>
    <row r="22">
      <c r="A22" s="3" t="inlineStr">
        <is>
          <t>ORD-1019</t>
        </is>
      </c>
      <c r="B22" s="3" t="inlineStr">
        <is>
          <t>Sankalp</t>
        </is>
      </c>
      <c r="C22" s="3" t="inlineStr">
        <is>
          <t>Rajkot</t>
        </is>
      </c>
      <c r="D22" s="3" t="inlineStr">
        <is>
          <t>Dunzo</t>
        </is>
      </c>
      <c r="E22" s="4" t="n">
        <v>441</v>
      </c>
    </row>
    <row r="23">
      <c r="A23" s="5" t="inlineStr">
        <is>
          <t>ORD-1020</t>
        </is>
      </c>
      <c r="B23" s="5" t="inlineStr">
        <is>
          <t>Mocha</t>
        </is>
      </c>
      <c r="C23" s="5" t="inlineStr">
        <is>
          <t>Ahmedabad</t>
        </is>
      </c>
      <c r="D23" s="5" t="inlineStr">
        <is>
          <t>Swiggy</t>
        </is>
      </c>
      <c r="E23" s="6" t="n">
        <v>697</v>
      </c>
    </row>
    <row r="24">
      <c r="A24" s="3" t="inlineStr">
        <is>
          <t>ORD-1021</t>
        </is>
      </c>
      <c r="B24" s="3" t="inlineStr">
        <is>
          <t>Mirch Masala</t>
        </is>
      </c>
      <c r="C24" s="3" t="inlineStr">
        <is>
          <t>Surat</t>
        </is>
      </c>
      <c r="D24" s="3" t="inlineStr">
        <is>
          <t>Zomato</t>
        </is>
      </c>
      <c r="E24" s="4" t="n">
        <v>726</v>
      </c>
    </row>
    <row r="25">
      <c r="A25" s="5" t="inlineStr">
        <is>
          <t>ORD-1022</t>
        </is>
      </c>
      <c r="B25" s="5" t="inlineStr">
        <is>
          <t>Burger King</t>
        </is>
      </c>
      <c r="C25" s="5" t="inlineStr">
        <is>
          <t>Vadodara</t>
        </is>
      </c>
      <c r="D25" s="5" t="inlineStr">
        <is>
          <t>Shadowfax</t>
        </is>
      </c>
      <c r="E25" s="6" t="n">
        <v>1284</v>
      </c>
    </row>
    <row r="26">
      <c r="A26" s="3" t="inlineStr">
        <is>
          <t>ORD-1023</t>
        </is>
      </c>
      <c r="B26" s="3" t="inlineStr">
        <is>
          <t>Subway</t>
        </is>
      </c>
      <c r="C26" s="3" t="inlineStr">
        <is>
          <t>Rajkot</t>
        </is>
      </c>
      <c r="D26" s="3" t="inlineStr">
        <is>
          <t>Dunzo</t>
        </is>
      </c>
      <c r="E26" s="4" t="n">
        <v>1482</v>
      </c>
    </row>
    <row r="27">
      <c r="A27" s="5" t="inlineStr">
        <is>
          <t>ORD-1024</t>
        </is>
      </c>
      <c r="B27" s="5" t="inlineStr">
        <is>
          <t>Honest</t>
        </is>
      </c>
      <c r="C27" s="5" t="inlineStr">
        <is>
          <t>Ahmedabad</t>
        </is>
      </c>
      <c r="D27" s="5" t="inlineStr">
        <is>
          <t>Swiggy</t>
        </is>
      </c>
      <c r="E27" s="6" t="n">
        <v>304</v>
      </c>
    </row>
    <row r="28">
      <c r="A28" s="3" t="inlineStr">
        <is>
          <t>ORD-1025</t>
        </is>
      </c>
      <c r="B28" s="3" t="inlineStr">
        <is>
          <t>Gwalia</t>
        </is>
      </c>
      <c r="C28" s="3" t="inlineStr">
        <is>
          <t>Surat</t>
        </is>
      </c>
      <c r="D28" s="3" t="inlineStr">
        <is>
          <t>Zomato</t>
        </is>
      </c>
      <c r="E28" s="4" t="n">
        <v>1399</v>
      </c>
    </row>
    <row r="29">
      <c r="A29" s="5" t="inlineStr">
        <is>
          <t>ORD-1026</t>
        </is>
      </c>
      <c r="B29" s="5" t="inlineStr">
        <is>
          <t>Tomatoes</t>
        </is>
      </c>
      <c r="C29" s="5" t="inlineStr">
        <is>
          <t>Vadodara</t>
        </is>
      </c>
      <c r="D29" s="5" t="inlineStr">
        <is>
          <t>Shadowfax</t>
        </is>
      </c>
      <c r="E29" s="6" t="n">
        <v>657</v>
      </c>
    </row>
    <row r="30">
      <c r="A30" s="3" t="inlineStr">
        <is>
          <t>ORD-1027</t>
        </is>
      </c>
      <c r="B30" s="3" t="inlineStr">
        <is>
          <t>Sankalp</t>
        </is>
      </c>
      <c r="C30" s="3" t="inlineStr">
        <is>
          <t>Rajkot</t>
        </is>
      </c>
      <c r="D30" s="3" t="inlineStr">
        <is>
          <t>Dunzo</t>
        </is>
      </c>
      <c r="E30" s="4" t="n">
        <v>1716</v>
      </c>
    </row>
    <row r="31">
      <c r="A31" s="5" t="inlineStr">
        <is>
          <t>ORD-1028</t>
        </is>
      </c>
      <c r="B31" s="5" t="inlineStr">
        <is>
          <t>Mocha</t>
        </is>
      </c>
      <c r="C31" s="5" t="inlineStr">
        <is>
          <t>Ahmedabad</t>
        </is>
      </c>
      <c r="D31" s="5" t="inlineStr">
        <is>
          <t>Swiggy</t>
        </is>
      </c>
      <c r="E31" s="6" t="n">
        <v>1580</v>
      </c>
    </row>
    <row r="32">
      <c r="A32" s="3" t="inlineStr">
        <is>
          <t>ORD-1029</t>
        </is>
      </c>
      <c r="B32" s="3" t="inlineStr">
        <is>
          <t>Mirch Masala</t>
        </is>
      </c>
      <c r="C32" s="3" t="inlineStr">
        <is>
          <t>Surat</t>
        </is>
      </c>
      <c r="D32" s="3" t="inlineStr">
        <is>
          <t>Zomato</t>
        </is>
      </c>
      <c r="E32" s="4" t="n">
        <v>1686</v>
      </c>
    </row>
    <row r="33">
      <c r="A33" s="5" t="inlineStr">
        <is>
          <t>ORD-1030</t>
        </is>
      </c>
      <c r="B33" s="5" t="inlineStr">
        <is>
          <t>Burger King</t>
        </is>
      </c>
      <c r="C33" s="5" t="inlineStr">
        <is>
          <t>Vadodara</t>
        </is>
      </c>
      <c r="D33" s="5" t="inlineStr">
        <is>
          <t>Shadowfax</t>
        </is>
      </c>
      <c r="E33" s="6" t="n">
        <v>1366</v>
      </c>
    </row>
    <row r="34">
      <c r="A34" s="3" t="inlineStr">
        <is>
          <t>ORD-1031</t>
        </is>
      </c>
      <c r="B34" s="3" t="inlineStr">
        <is>
          <t>Subway</t>
        </is>
      </c>
      <c r="C34" s="3" t="inlineStr">
        <is>
          <t>Rajkot</t>
        </is>
      </c>
      <c r="D34" s="3" t="inlineStr">
        <is>
          <t>Dunzo</t>
        </is>
      </c>
      <c r="E34" s="4" t="n">
        <v>1109</v>
      </c>
    </row>
    <row r="35">
      <c r="A35" s="5" t="inlineStr">
        <is>
          <t>ORD-1032</t>
        </is>
      </c>
      <c r="B35" s="5" t="inlineStr">
        <is>
          <t>Honest</t>
        </is>
      </c>
      <c r="C35" s="5" t="inlineStr">
        <is>
          <t>Ahmedabad</t>
        </is>
      </c>
      <c r="D35" s="5" t="inlineStr">
        <is>
          <t>Swiggy</t>
        </is>
      </c>
      <c r="E35" s="6" t="n">
        <v>701</v>
      </c>
    </row>
    <row r="36">
      <c r="A36" s="3" t="inlineStr">
        <is>
          <t>ORD-1033</t>
        </is>
      </c>
      <c r="B36" s="3" t="inlineStr">
        <is>
          <t>Gwalia</t>
        </is>
      </c>
      <c r="C36" s="3" t="inlineStr">
        <is>
          <t>Surat</t>
        </is>
      </c>
      <c r="D36" s="3" t="inlineStr">
        <is>
          <t>Zomato</t>
        </is>
      </c>
      <c r="E36" s="4" t="n">
        <v>1169</v>
      </c>
    </row>
    <row r="37">
      <c r="A37" s="5" t="inlineStr">
        <is>
          <t>ORD-1034</t>
        </is>
      </c>
      <c r="B37" s="5" t="inlineStr">
        <is>
          <t>Tomatoes</t>
        </is>
      </c>
      <c r="C37" s="5" t="inlineStr">
        <is>
          <t>Vadodara</t>
        </is>
      </c>
      <c r="D37" s="5" t="inlineStr">
        <is>
          <t>Shadowfax</t>
        </is>
      </c>
      <c r="E37" s="6" t="n">
        <v>1456</v>
      </c>
    </row>
    <row r="38">
      <c r="A38" s="3" t="inlineStr">
        <is>
          <t>ORD-1035</t>
        </is>
      </c>
      <c r="B38" s="3" t="inlineStr">
        <is>
          <t>Sankalp</t>
        </is>
      </c>
      <c r="C38" s="3" t="inlineStr">
        <is>
          <t>Rajkot</t>
        </is>
      </c>
      <c r="D38" s="3" t="inlineStr">
        <is>
          <t>Dunzo</t>
        </is>
      </c>
      <c r="E38" s="4" t="n">
        <v>819</v>
      </c>
    </row>
    <row r="39">
      <c r="A39" s="5" t="inlineStr">
        <is>
          <t>ORD-1036</t>
        </is>
      </c>
      <c r="B39" s="5" t="inlineStr">
        <is>
          <t>Mocha</t>
        </is>
      </c>
      <c r="C39" s="5" t="inlineStr">
        <is>
          <t>Ahmedabad</t>
        </is>
      </c>
      <c r="D39" s="5" t="inlineStr">
        <is>
          <t>Swiggy</t>
        </is>
      </c>
      <c r="E39" s="6" t="n">
        <v>263</v>
      </c>
    </row>
    <row r="40">
      <c r="A40" s="3" t="inlineStr">
        <is>
          <t>ORD-1037</t>
        </is>
      </c>
      <c r="B40" s="3" t="inlineStr">
        <is>
          <t>Mirch Masala</t>
        </is>
      </c>
      <c r="C40" s="3" t="inlineStr">
        <is>
          <t>Surat</t>
        </is>
      </c>
      <c r="D40" s="3" t="inlineStr">
        <is>
          <t>Zomato</t>
        </is>
      </c>
      <c r="E40" s="4" t="n">
        <v>1804</v>
      </c>
    </row>
    <row r="41">
      <c r="A41" s="5" t="inlineStr">
        <is>
          <t>ORD-1038</t>
        </is>
      </c>
      <c r="B41" s="5" t="inlineStr">
        <is>
          <t>Burger King</t>
        </is>
      </c>
      <c r="C41" s="5" t="inlineStr">
        <is>
          <t>Vadodara</t>
        </is>
      </c>
      <c r="D41" s="5" t="inlineStr">
        <is>
          <t>Shadowfax</t>
        </is>
      </c>
      <c r="E41" s="6" t="n">
        <v>576</v>
      </c>
    </row>
    <row r="42">
      <c r="A42" s="3" t="inlineStr">
        <is>
          <t>ORD-1039</t>
        </is>
      </c>
      <c r="B42" s="3" t="inlineStr">
        <is>
          <t>Subway</t>
        </is>
      </c>
      <c r="C42" s="3" t="inlineStr">
        <is>
          <t>Rajkot</t>
        </is>
      </c>
      <c r="D42" s="3" t="inlineStr">
        <is>
          <t>Dunzo</t>
        </is>
      </c>
      <c r="E42" s="4" t="n">
        <v>1679</v>
      </c>
    </row>
    <row r="43">
      <c r="A43" s="5" t="inlineStr">
        <is>
          <t>ORD-1040</t>
        </is>
      </c>
      <c r="B43" s="5" t="inlineStr">
        <is>
          <t>Honest</t>
        </is>
      </c>
      <c r="C43" s="5" t="inlineStr">
        <is>
          <t>Ahmedabad</t>
        </is>
      </c>
      <c r="D43" s="5" t="inlineStr">
        <is>
          <t>Swiggy</t>
        </is>
      </c>
      <c r="E43" s="6" t="n">
        <v>1115</v>
      </c>
    </row>
    <row r="44">
      <c r="A44" s="3" t="inlineStr">
        <is>
          <t>ORD-1041</t>
        </is>
      </c>
      <c r="B44" s="3" t="inlineStr">
        <is>
          <t>Gwalia</t>
        </is>
      </c>
      <c r="C44" s="3" t="inlineStr">
        <is>
          <t>Surat</t>
        </is>
      </c>
      <c r="D44" s="3" t="inlineStr">
        <is>
          <t>Zomato</t>
        </is>
      </c>
      <c r="E44" s="4" t="n">
        <v>946</v>
      </c>
    </row>
    <row r="45">
      <c r="A45" s="5" t="inlineStr">
        <is>
          <t>ORD-1042</t>
        </is>
      </c>
      <c r="B45" s="5" t="inlineStr">
        <is>
          <t>Tomatoes</t>
        </is>
      </c>
      <c r="C45" s="5" t="inlineStr">
        <is>
          <t>Vadodara</t>
        </is>
      </c>
      <c r="D45" s="5" t="inlineStr">
        <is>
          <t>Shadowfax</t>
        </is>
      </c>
      <c r="E45" s="6" t="n">
        <v>819</v>
      </c>
    </row>
    <row r="46">
      <c r="A46" s="3" t="inlineStr">
        <is>
          <t>ORD-1043</t>
        </is>
      </c>
      <c r="B46" s="3" t="inlineStr">
        <is>
          <t>Sankalp</t>
        </is>
      </c>
      <c r="C46" s="3" t="inlineStr">
        <is>
          <t>Rajkot</t>
        </is>
      </c>
      <c r="D46" s="3" t="inlineStr">
        <is>
          <t>Dunzo</t>
        </is>
      </c>
      <c r="E46" s="4" t="n">
        <v>568</v>
      </c>
    </row>
    <row r="47">
      <c r="A47" s="5" t="inlineStr">
        <is>
          <t>ORD-1044</t>
        </is>
      </c>
      <c r="B47" s="5" t="inlineStr">
        <is>
          <t>Mocha</t>
        </is>
      </c>
      <c r="C47" s="5" t="inlineStr">
        <is>
          <t>Ahmedabad</t>
        </is>
      </c>
      <c r="D47" s="5" t="inlineStr">
        <is>
          <t>Swiggy</t>
        </is>
      </c>
      <c r="E47" s="6" t="n">
        <v>690</v>
      </c>
    </row>
    <row r="48">
      <c r="A48" s="3" t="inlineStr">
        <is>
          <t>ORD-1045</t>
        </is>
      </c>
      <c r="B48" s="3" t="inlineStr">
        <is>
          <t>Mirch Masala</t>
        </is>
      </c>
      <c r="C48" s="3" t="inlineStr">
        <is>
          <t>Surat</t>
        </is>
      </c>
      <c r="D48" s="3" t="inlineStr">
        <is>
          <t>Zomato</t>
        </is>
      </c>
      <c r="E48" s="4" t="n">
        <v>1813</v>
      </c>
    </row>
    <row r="49">
      <c r="A49" s="5" t="inlineStr">
        <is>
          <t>ORD-1046</t>
        </is>
      </c>
      <c r="B49" s="5" t="inlineStr">
        <is>
          <t>Burger King</t>
        </is>
      </c>
      <c r="C49" s="5" t="inlineStr">
        <is>
          <t>Vadodara</t>
        </is>
      </c>
      <c r="D49" s="5" t="inlineStr">
        <is>
          <t>Shadowfax</t>
        </is>
      </c>
      <c r="E49" s="6" t="n">
        <v>939</v>
      </c>
    </row>
    <row r="50">
      <c r="A50" s="3" t="inlineStr">
        <is>
          <t>ORD-1047</t>
        </is>
      </c>
      <c r="B50" s="3" t="inlineStr">
        <is>
          <t>Subway</t>
        </is>
      </c>
      <c r="C50" s="3" t="inlineStr">
        <is>
          <t>Rajkot</t>
        </is>
      </c>
      <c r="D50" s="3" t="inlineStr">
        <is>
          <t>Dunzo</t>
        </is>
      </c>
      <c r="E50" s="4" t="n">
        <v>459</v>
      </c>
    </row>
    <row r="51">
      <c r="A51" s="5" t="inlineStr">
        <is>
          <t>ORD-1048</t>
        </is>
      </c>
      <c r="B51" s="5" t="inlineStr">
        <is>
          <t>Honest</t>
        </is>
      </c>
      <c r="C51" s="5" t="inlineStr">
        <is>
          <t>Ahmedabad</t>
        </is>
      </c>
      <c r="D51" s="5" t="inlineStr">
        <is>
          <t>Swiggy</t>
        </is>
      </c>
      <c r="E51" s="6" t="n">
        <v>439</v>
      </c>
    </row>
    <row r="52">
      <c r="A52" s="3" t="inlineStr">
        <is>
          <t>ORD-1049</t>
        </is>
      </c>
      <c r="B52" s="3" t="inlineStr">
        <is>
          <t>Gwalia</t>
        </is>
      </c>
      <c r="C52" s="3" t="inlineStr">
        <is>
          <t>Surat</t>
        </is>
      </c>
      <c r="D52" s="3" t="inlineStr">
        <is>
          <t>Zomato</t>
        </is>
      </c>
      <c r="E52" s="4" t="n">
        <v>1028</v>
      </c>
    </row>
    <row r="53">
      <c r="A53" s="5" t="inlineStr">
        <is>
          <t>ORD-1050</t>
        </is>
      </c>
      <c r="B53" s="5" t="inlineStr">
        <is>
          <t>Tomatoes</t>
        </is>
      </c>
      <c r="C53" s="5" t="inlineStr">
        <is>
          <t>Vadodara</t>
        </is>
      </c>
      <c r="D53" s="5" t="inlineStr">
        <is>
          <t>Shadowfax</t>
        </is>
      </c>
      <c r="E53" s="6" t="n">
        <v>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3" customWidth="1" min="1" max="1"/>
    <col width="61" customWidth="1" min="2" max="2"/>
    <col width="39" customWidth="1" min="3" max="3"/>
    <col width="12" customWidth="1" min="4" max="4"/>
    <col width="51" customWidth="1" min="5" max="5"/>
    <col width="105" customWidth="1" min="6" max="6"/>
    <col width="105" customWidth="1" min="7" max="7"/>
    <col width="105" customWidth="1" min="8" max="8"/>
    <col width="105" customWidth="1" min="9" max="9"/>
    <col width="16" customWidth="1" min="10" max="10"/>
  </cols>
  <sheetData>
    <row r="1">
      <c r="A1" s="7" t="inlineStr">
        <is>
          <t>Task 1 &amp; 4: Total Order Amount by City (Filtered for Ahmedabad or All)</t>
        </is>
      </c>
      <c r="E1" s="7" t="inlineStr">
        <is>
          <t>Task 2: 2D Matrix (Rows: Restaurant, Cols: City)</t>
        </is>
      </c>
    </row>
    <row r="2"/>
    <row r="3">
      <c r="A3" s="8" t="inlineStr">
        <is>
          <t>City</t>
        </is>
      </c>
      <c r="B3" s="8" t="inlineStr">
        <is>
          <t>Total Amount (₹)</t>
        </is>
      </c>
      <c r="C3" s="8" t="inlineStr">
        <is>
          <t>Total Orders (COUNT)</t>
        </is>
      </c>
      <c r="D3" s="8" t="n"/>
      <c r="E3" s="8" t="inlineStr">
        <is>
          <t>Restaurant</t>
        </is>
      </c>
      <c r="F3" s="8" t="inlineStr">
        <is>
          <t>Ahmedabad</t>
        </is>
      </c>
      <c r="G3" s="8" t="inlineStr">
        <is>
          <t>Surat</t>
        </is>
      </c>
      <c r="H3" s="8" t="inlineStr">
        <is>
          <t>Vadodara</t>
        </is>
      </c>
      <c r="I3" s="8" t="inlineStr">
        <is>
          <t>Rajkot</t>
        </is>
      </c>
      <c r="J3" s="8" t="inlineStr">
        <is>
          <t>Total</t>
        </is>
      </c>
    </row>
    <row r="4">
      <c r="A4" s="3" t="inlineStr">
        <is>
          <t>Ahmedabad</t>
        </is>
      </c>
      <c r="B4" s="4">
        <f>SUMIF(Raw_Orders_Data!C4:C53, A4, Raw_Orders_Data!E4:E53)</f>
        <v/>
      </c>
      <c r="C4" s="9">
        <f>COUNTIF(Raw_Orders_Data!C4:C53, A4)</f>
        <v/>
      </c>
      <c r="D4" s="3" t="n"/>
      <c r="E4" s="3" t="inlineStr">
        <is>
          <t>Honest</t>
        </is>
      </c>
      <c r="F4" s="4">
        <f>SUMIFS(Raw_Orders_Data!$E$4:$E$53, Raw_Orders_Data!$B$4:$B$53, $E4, Raw_Orders_Data!$C$4:$C$53, F$3)</f>
        <v/>
      </c>
      <c r="G4" s="4">
        <f>SUMIFS(Raw_Orders_Data!$E$4:$E$53, Raw_Orders_Data!$B$4:$B$53, $E4, Raw_Orders_Data!$C$4:$C$53, G$3)</f>
        <v/>
      </c>
      <c r="H4" s="4">
        <f>SUMIFS(Raw_Orders_Data!$E$4:$E$53, Raw_Orders_Data!$B$4:$B$53, $E4, Raw_Orders_Data!$C$4:$C$53, H$3)</f>
        <v/>
      </c>
      <c r="I4" s="4">
        <f>SUMIFS(Raw_Orders_Data!$E$4:$E$53, Raw_Orders_Data!$B$4:$B$53, $E4, Raw_Orders_Data!$C$4:$C$53, I$3)</f>
        <v/>
      </c>
      <c r="J4" s="4">
        <f>SUM(F4:I4)</f>
        <v/>
      </c>
    </row>
    <row r="5">
      <c r="A5" s="5" t="inlineStr">
        <is>
          <t>Surat</t>
        </is>
      </c>
      <c r="B5" s="6">
        <f>SUMIF(Raw_Orders_Data!C4:C53, A5, Raw_Orders_Data!E4:E53)</f>
        <v/>
      </c>
      <c r="C5" s="10">
        <f>COUNTIF(Raw_Orders_Data!C4:C53, A5)</f>
        <v/>
      </c>
      <c r="D5" s="5" t="n"/>
      <c r="E5" s="5" t="inlineStr">
        <is>
          <t>Gwalia</t>
        </is>
      </c>
      <c r="F5" s="6">
        <f>SUMIFS(Raw_Orders_Data!$E$4:$E$53, Raw_Orders_Data!$B$4:$B$53, $E5, Raw_Orders_Data!$C$4:$C$53, F$3)</f>
        <v/>
      </c>
      <c r="G5" s="6">
        <f>SUMIFS(Raw_Orders_Data!$E$4:$E$53, Raw_Orders_Data!$B$4:$B$53, $E5, Raw_Orders_Data!$C$4:$C$53, G$3)</f>
        <v/>
      </c>
      <c r="H5" s="6">
        <f>SUMIFS(Raw_Orders_Data!$E$4:$E$53, Raw_Orders_Data!$B$4:$B$53, $E5, Raw_Orders_Data!$C$4:$C$53, H$3)</f>
        <v/>
      </c>
      <c r="I5" s="6">
        <f>SUMIFS(Raw_Orders_Data!$E$4:$E$53, Raw_Orders_Data!$B$4:$B$53, $E5, Raw_Orders_Data!$C$4:$C$53, I$3)</f>
        <v/>
      </c>
      <c r="J5" s="6">
        <f>SUM(F5:I5)</f>
        <v/>
      </c>
    </row>
    <row r="6">
      <c r="A6" s="3" t="inlineStr">
        <is>
          <t>Vadodara</t>
        </is>
      </c>
      <c r="B6" s="4">
        <f>SUMIF(Raw_Orders_Data!C4:C53, A6, Raw_Orders_Data!E4:E53)</f>
        <v/>
      </c>
      <c r="C6" s="9">
        <f>COUNTIF(Raw_Orders_Data!C4:C53, A6)</f>
        <v/>
      </c>
      <c r="D6" s="3" t="n"/>
      <c r="E6" s="3" t="inlineStr">
        <is>
          <t>Tomatoes</t>
        </is>
      </c>
      <c r="F6" s="4">
        <f>SUMIFS(Raw_Orders_Data!$E$4:$E$53, Raw_Orders_Data!$B$4:$B$53, $E6, Raw_Orders_Data!$C$4:$C$53, F$3)</f>
        <v/>
      </c>
      <c r="G6" s="4">
        <f>SUMIFS(Raw_Orders_Data!$E$4:$E$53, Raw_Orders_Data!$B$4:$B$53, $E6, Raw_Orders_Data!$C$4:$C$53, G$3)</f>
        <v/>
      </c>
      <c r="H6" s="4">
        <f>SUMIFS(Raw_Orders_Data!$E$4:$E$53, Raw_Orders_Data!$B$4:$B$53, $E6, Raw_Orders_Data!$C$4:$C$53, H$3)</f>
        <v/>
      </c>
      <c r="I6" s="4">
        <f>SUMIFS(Raw_Orders_Data!$E$4:$E$53, Raw_Orders_Data!$B$4:$B$53, $E6, Raw_Orders_Data!$C$4:$C$53, I$3)</f>
        <v/>
      </c>
      <c r="J6" s="4">
        <f>SUM(F6:I6)</f>
        <v/>
      </c>
    </row>
    <row r="7">
      <c r="A7" s="5" t="inlineStr">
        <is>
          <t>Rajkot</t>
        </is>
      </c>
      <c r="B7" s="6">
        <f>SUMIF(Raw_Orders_Data!C4:C53, A7, Raw_Orders_Data!E4:E53)</f>
        <v/>
      </c>
      <c r="C7" s="10">
        <f>COUNTIF(Raw_Orders_Data!C4:C53, A7)</f>
        <v/>
      </c>
      <c r="D7" s="5" t="n"/>
      <c r="E7" s="5" t="inlineStr">
        <is>
          <t>Sankalp</t>
        </is>
      </c>
      <c r="F7" s="6">
        <f>SUMIFS(Raw_Orders_Data!$E$4:$E$53, Raw_Orders_Data!$B$4:$B$53, $E7, Raw_Orders_Data!$C$4:$C$53, F$3)</f>
        <v/>
      </c>
      <c r="G7" s="6">
        <f>SUMIFS(Raw_Orders_Data!$E$4:$E$53, Raw_Orders_Data!$B$4:$B$53, $E7, Raw_Orders_Data!$C$4:$C$53, G$3)</f>
        <v/>
      </c>
      <c r="H7" s="6">
        <f>SUMIFS(Raw_Orders_Data!$E$4:$E$53, Raw_Orders_Data!$B$4:$B$53, $E7, Raw_Orders_Data!$C$4:$C$53, H$3)</f>
        <v/>
      </c>
      <c r="I7" s="6">
        <f>SUMIFS(Raw_Orders_Data!$E$4:$E$53, Raw_Orders_Data!$B$4:$B$53, $E7, Raw_Orders_Data!$C$4:$C$53, I$3)</f>
        <v/>
      </c>
      <c r="J7" s="6">
        <f>SUM(F7:I7)</f>
        <v/>
      </c>
    </row>
    <row r="8">
      <c r="A8" s="11" t="inlineStr">
        <is>
          <t>Total</t>
        </is>
      </c>
      <c r="B8" s="12">
        <f>SUM(B4:B7)</f>
        <v/>
      </c>
      <c r="C8" s="13">
        <f>SUM(C4:C7)</f>
        <v/>
      </c>
      <c r="D8" s="3" t="n"/>
      <c r="E8" s="3" t="inlineStr">
        <is>
          <t>Mocha</t>
        </is>
      </c>
      <c r="F8" s="4">
        <f>SUMIFS(Raw_Orders_Data!$E$4:$E$53, Raw_Orders_Data!$B$4:$B$53, $E8, Raw_Orders_Data!$C$4:$C$53, F$3)</f>
        <v/>
      </c>
      <c r="G8" s="4">
        <f>SUMIFS(Raw_Orders_Data!$E$4:$E$53, Raw_Orders_Data!$B$4:$B$53, $E8, Raw_Orders_Data!$C$4:$C$53, G$3)</f>
        <v/>
      </c>
      <c r="H8" s="4">
        <f>SUMIFS(Raw_Orders_Data!$E$4:$E$53, Raw_Orders_Data!$B$4:$B$53, $E8, Raw_Orders_Data!$C$4:$C$53, H$3)</f>
        <v/>
      </c>
      <c r="I8" s="4">
        <f>SUMIFS(Raw_Orders_Data!$E$4:$E$53, Raw_Orders_Data!$B$4:$B$53, $E8, Raw_Orders_Data!$C$4:$C$53, I$3)</f>
        <v/>
      </c>
      <c r="J8" s="4">
        <f>SUM(F8:I8)</f>
        <v/>
      </c>
    </row>
    <row r="9">
      <c r="A9" s="5" t="n"/>
      <c r="B9" s="5" t="n"/>
      <c r="C9" s="5" t="n"/>
      <c r="D9" s="5" t="n"/>
      <c r="E9" s="5" t="inlineStr">
        <is>
          <t>Mirch Masala</t>
        </is>
      </c>
      <c r="F9" s="6">
        <f>SUMIFS(Raw_Orders_Data!$E$4:$E$53, Raw_Orders_Data!$B$4:$B$53, $E9, Raw_Orders_Data!$C$4:$C$53, F$3)</f>
        <v/>
      </c>
      <c r="G9" s="6">
        <f>SUMIFS(Raw_Orders_Data!$E$4:$E$53, Raw_Orders_Data!$B$4:$B$53, $E9, Raw_Orders_Data!$C$4:$C$53, G$3)</f>
        <v/>
      </c>
      <c r="H9" s="6">
        <f>SUMIFS(Raw_Orders_Data!$E$4:$E$53, Raw_Orders_Data!$B$4:$B$53, $E9, Raw_Orders_Data!$C$4:$C$53, H$3)</f>
        <v/>
      </c>
      <c r="I9" s="6">
        <f>SUMIFS(Raw_Orders_Data!$E$4:$E$53, Raw_Orders_Data!$B$4:$B$53, $E9, Raw_Orders_Data!$C$4:$C$53, I$3)</f>
        <v/>
      </c>
      <c r="J9" s="6">
        <f>SUM(F9:I9)</f>
        <v/>
      </c>
    </row>
    <row r="10">
      <c r="A10" s="3" t="n"/>
      <c r="B10" s="3" t="n"/>
      <c r="C10" s="3" t="n"/>
      <c r="D10" s="3" t="n"/>
      <c r="E10" s="3" t="inlineStr">
        <is>
          <t>Burger King</t>
        </is>
      </c>
      <c r="F10" s="4">
        <f>SUMIFS(Raw_Orders_Data!$E$4:$E$53, Raw_Orders_Data!$B$4:$B$53, $E10, Raw_Orders_Data!$C$4:$C$53, F$3)</f>
        <v/>
      </c>
      <c r="G10" s="4">
        <f>SUMIFS(Raw_Orders_Data!$E$4:$E$53, Raw_Orders_Data!$B$4:$B$53, $E10, Raw_Orders_Data!$C$4:$C$53, G$3)</f>
        <v/>
      </c>
      <c r="H10" s="4">
        <f>SUMIFS(Raw_Orders_Data!$E$4:$E$53, Raw_Orders_Data!$B$4:$B$53, $E10, Raw_Orders_Data!$C$4:$C$53, H$3)</f>
        <v/>
      </c>
      <c r="I10" s="4">
        <f>SUMIFS(Raw_Orders_Data!$E$4:$E$53, Raw_Orders_Data!$B$4:$B$53, $E10, Raw_Orders_Data!$C$4:$C$53, I$3)</f>
        <v/>
      </c>
      <c r="J10" s="4">
        <f>SUM(F10:I10)</f>
        <v/>
      </c>
    </row>
    <row r="11">
      <c r="A11" s="14" t="inlineStr">
        <is>
          <t>Task 3: Orders Delivered by Each Delivery Partner (COUNT)</t>
        </is>
      </c>
      <c r="B11" s="5" t="n"/>
      <c r="C11" s="5" t="n"/>
      <c r="D11" s="5" t="n"/>
      <c r="E11" s="5" t="inlineStr">
        <is>
          <t>Subway</t>
        </is>
      </c>
      <c r="F11" s="6">
        <f>SUMIFS(Raw_Orders_Data!$E$4:$E$53, Raw_Orders_Data!$B$4:$B$53, $E11, Raw_Orders_Data!$C$4:$C$53, F$3)</f>
        <v/>
      </c>
      <c r="G11" s="6">
        <f>SUMIFS(Raw_Orders_Data!$E$4:$E$53, Raw_Orders_Data!$B$4:$B$53, $E11, Raw_Orders_Data!$C$4:$C$53, G$3)</f>
        <v/>
      </c>
      <c r="H11" s="6">
        <f>SUMIFS(Raw_Orders_Data!$E$4:$E$53, Raw_Orders_Data!$B$4:$B$53, $E11, Raw_Orders_Data!$C$4:$C$53, H$3)</f>
        <v/>
      </c>
      <c r="I11" s="6">
        <f>SUMIFS(Raw_Orders_Data!$E$4:$E$53, Raw_Orders_Data!$B$4:$B$53, $E11, Raw_Orders_Data!$C$4:$C$53, I$3)</f>
        <v/>
      </c>
      <c r="J11" s="6">
        <f>SUM(F11:I11)</f>
        <v/>
      </c>
    </row>
    <row r="12">
      <c r="A12" s="15" t="inlineStr">
        <is>
          <t>Delivery Partner</t>
        </is>
      </c>
      <c r="B12" s="15" t="inlineStr">
        <is>
          <t>Order Count</t>
        </is>
      </c>
      <c r="C12" s="15" t="inlineStr">
        <is>
          <t>Market Share %</t>
        </is>
      </c>
    </row>
    <row r="13">
      <c r="A13" s="5" t="inlineStr">
        <is>
          <t>Swiggy</t>
        </is>
      </c>
      <c r="B13" s="10">
        <f>COUNTIF(Raw_Orders_Data!D4:D53, A13)</f>
        <v/>
      </c>
      <c r="C13" s="16">
        <f>B13/$B$17</f>
        <v/>
      </c>
    </row>
    <row r="14">
      <c r="A14" s="3" t="inlineStr">
        <is>
          <t>Zomato</t>
        </is>
      </c>
      <c r="B14" s="9">
        <f>COUNTIF(Raw_Orders_Data!D4:D53, A14)</f>
        <v/>
      </c>
      <c r="C14" s="17">
        <f>B14/$B$17</f>
        <v/>
      </c>
    </row>
    <row r="15">
      <c r="A15" s="5" t="inlineStr">
        <is>
          <t>Shadowfax</t>
        </is>
      </c>
      <c r="B15" s="10">
        <f>COUNTIF(Raw_Orders_Data!D4:D53, A15)</f>
        <v/>
      </c>
      <c r="C15" s="16">
        <f>B15/$B$17</f>
        <v/>
      </c>
    </row>
    <row r="16">
      <c r="A16" s="3" t="inlineStr">
        <is>
          <t>Dunzo</t>
        </is>
      </c>
      <c r="B16" s="9">
        <f>COUNTIF(Raw_Orders_Data!D4:D53, A16)</f>
        <v/>
      </c>
      <c r="C16" s="17">
        <f>B16/$B$17</f>
        <v/>
      </c>
    </row>
    <row r="17">
      <c r="A17" s="18" t="inlineStr">
        <is>
          <t>Grand Total</t>
        </is>
      </c>
      <c r="B17" s="19">
        <f>SUM(B13:B16)</f>
        <v/>
      </c>
      <c r="C17" s="20">
        <f>SUM(C13:C16)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2026-09-02T06:19:33Z</dcterms:created>
  <dcterms:modified xmlns:dcterms="http://purl.org/dc/terms/" xmlns:xsi="http://www.w3.org/2001/XMLSchema-instance" xsi:type="dcterms:W3CDTF">2026-09-02T06:19:33Z</dcterms:modified>
</cp:coreProperties>
</file>