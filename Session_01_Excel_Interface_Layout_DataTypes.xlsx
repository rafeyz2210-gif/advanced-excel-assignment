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_Ribbon_Overview" sheetId="1" state="visible" r:id="rId1"/>
    <sheet xmlns:r="http://schemas.openxmlformats.org/officeDocument/2006/relationships" name="Songs" sheetId="2" state="visible" r:id="rId2"/>
    <sheet xmlns:r="http://schemas.openxmlformats.org/officeDocument/2006/relationships" name="Artists" sheetId="3" state="visible" r:id="rId3"/>
    <sheet xmlns:r="http://schemas.openxmlformats.org/officeDocument/2006/relationships" name="Task4_GST_Calculator" sheetId="4" state="visible" r:id="rId4"/>
    <sheet xmlns:r="http://schemas.openxmlformats.org/officeDocument/2006/relationships" name="Task5_Data_Type_Corr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₹#,##0.00"/>
    <numFmt numFmtId="166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b val="1"/>
      <color rgb="001F4E79"/>
      <sz val="13"/>
    </font>
    <font>
      <b val="1"/>
    </font>
    <font>
      <b val="1"/>
      <color rgb="00006100"/>
    </font>
    <font>
      <i val="1"/>
    </font>
    <font>
      <i val="1"/>
      <color rgb="00555555"/>
    </font>
    <font>
      <b val="1"/>
      <color rgb="00C00000"/>
    </font>
    <font>
      <b val="1"/>
      <i val="1"/>
      <color rgb="001F4E7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8" fillId="0" borderId="0" pivotButton="0" quotePrefix="0" xfId="0"/>
    <xf numFmtId="165" fontId="0" fillId="3" borderId="2" applyAlignment="1" pivotButton="0" quotePrefix="0" xfId="0">
      <alignment vertical="center"/>
    </xf>
    <xf numFmtId="165" fontId="0" fillId="4" borderId="2" applyAlignment="1" pivotButton="0" quotePrefix="0" xfId="0">
      <alignment vertical="center"/>
    </xf>
    <xf numFmtId="0" fontId="9" fillId="0" borderId="0" pivotButton="0" quotePrefix="0" xfId="0"/>
    <xf numFmtId="166" fontId="0" fillId="3" borderId="2" applyAlignment="1" pivotButton="0" quotePrefix="0" xfId="0">
      <alignment vertical="center"/>
    </xf>
    <xf numFmtId="166" fontId="0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125" customWidth="1" min="3" max="3"/>
    <col width="27" customWidth="1" min="4" max="4"/>
  </cols>
  <sheetData>
    <row r="1">
      <c r="A1" s="1" t="inlineStr">
        <is>
          <t>SESSION 1: EXCEL INTERFACE, RIBBON &amp; QUICK ACCESS TOOLBAR</t>
        </is>
      </c>
    </row>
    <row r="2"/>
    <row r="3">
      <c r="A3" s="2" t="inlineStr">
        <is>
          <t>Ribbon Tab / Tool</t>
        </is>
      </c>
      <c r="B3" s="2" t="inlineStr">
        <is>
          <t>Type</t>
        </is>
      </c>
      <c r="C3" s="2" t="inlineStr">
        <is>
          <t>Primary Purpose / Key Features</t>
        </is>
      </c>
      <c r="D3" s="2" t="inlineStr">
        <is>
          <t>Common Shortcuts / Notes</t>
        </is>
      </c>
    </row>
    <row r="4">
      <c r="A4" s="3" t="inlineStr">
        <is>
          <t>Home Tab</t>
        </is>
      </c>
      <c r="B4" s="3" t="inlineStr">
        <is>
          <t>Ribbon Tab</t>
        </is>
      </c>
      <c r="C4" s="3" t="inlineStr">
        <is>
          <t>Core formatting, font styles, text alignment, number types (Currency, %), Cell Styles, and basic editing (AutoSum, Clear).</t>
        </is>
      </c>
      <c r="D4" s="3" t="inlineStr">
        <is>
          <t>Alt + H</t>
        </is>
      </c>
    </row>
    <row r="5">
      <c r="A5" s="4" t="inlineStr">
        <is>
          <t>Insert Tab</t>
        </is>
      </c>
      <c r="B5" s="4" t="inlineStr">
        <is>
          <t>Ribbon Tab</t>
        </is>
      </c>
      <c r="C5" s="4" t="inlineStr">
        <is>
          <t>Adding objects to worksheets: PivotTables, Tables, Illustrations, Charts (Bar, Line, Pie), Slicers, and Sparklines.</t>
        </is>
      </c>
      <c r="D5" s="4" t="inlineStr">
        <is>
          <t>Alt + N</t>
        </is>
      </c>
    </row>
    <row r="6">
      <c r="A6" s="3" t="inlineStr">
        <is>
          <t>Data Tab</t>
        </is>
      </c>
      <c r="B6" s="3" t="inlineStr">
        <is>
          <t>Ribbon Tab</t>
        </is>
      </c>
      <c r="C6" s="3" t="inlineStr">
        <is>
          <t>Importing data (Power Query), Sorting &amp; Filtering, Data Tools (Text to Columns, Flash Fill, Data Validation, Consolidate).</t>
        </is>
      </c>
      <c r="D6" s="3" t="inlineStr">
        <is>
          <t>Alt + A</t>
        </is>
      </c>
    </row>
    <row r="7">
      <c r="A7" s="4" t="inlineStr">
        <is>
          <t>Undo Tool</t>
        </is>
      </c>
      <c r="B7" s="4" t="inlineStr">
        <is>
          <t>Quick Access Toolbar</t>
        </is>
      </c>
      <c r="C7" s="4" t="inlineStr">
        <is>
          <t>Reverts the last action performed in the workbook.</t>
        </is>
      </c>
      <c r="D7" s="4" t="inlineStr">
        <is>
          <t>Ctrl + Z</t>
        </is>
      </c>
    </row>
    <row r="8">
      <c r="A8" s="3" t="inlineStr">
        <is>
          <t>Save / AutoSave</t>
        </is>
      </c>
      <c r="B8" s="3" t="inlineStr">
        <is>
          <t>Quick Access Toolbar</t>
        </is>
      </c>
      <c r="C8" s="3" t="inlineStr">
        <is>
          <t>Commits current workbook modifications to disk / cloud storage.</t>
        </is>
      </c>
      <c r="D8" s="3" t="inlineStr">
        <is>
          <t>Ctrl +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0" customWidth="1" min="3" max="3"/>
    <col width="50" customWidth="1" min="4" max="4"/>
    <col width="22" customWidth="1" min="5" max="5"/>
  </cols>
  <sheetData>
    <row r="1">
      <c r="A1" s="5" t="inlineStr">
        <is>
          <t>Task 2 &amp; 3: Songs Playlist &amp; Duration Calculations</t>
        </is>
      </c>
    </row>
    <row r="2"/>
    <row r="3">
      <c r="A3" s="2" t="inlineStr">
        <is>
          <t>Track ID</t>
        </is>
      </c>
      <c r="B3" s="2" t="inlineStr">
        <is>
          <t>Track Name</t>
        </is>
      </c>
      <c r="C3" s="2" t="inlineStr">
        <is>
          <t>Artist</t>
        </is>
      </c>
      <c r="D3" s="2" t="inlineStr">
        <is>
          <t>Release Date</t>
        </is>
      </c>
      <c r="E3" s="2" t="inlineStr">
        <is>
          <t>Duration (Seconds)</t>
        </is>
      </c>
    </row>
    <row r="4">
      <c r="A4" s="3" t="inlineStr">
        <is>
          <t>TRK-101</t>
        </is>
      </c>
      <c r="B4" s="3" t="inlineStr">
        <is>
          <t>Tum Hi Ho</t>
        </is>
      </c>
      <c r="C4" s="3" t="inlineStr">
        <is>
          <t>Arijit Singh</t>
        </is>
      </c>
      <c r="D4" s="3" t="inlineStr">
        <is>
          <t>2013-04-08</t>
        </is>
      </c>
      <c r="E4" s="3" t="n">
        <v>262</v>
      </c>
    </row>
    <row r="5">
      <c r="A5" s="4" t="inlineStr">
        <is>
          <t>TRK-102</t>
        </is>
      </c>
      <c r="B5" s="4" t="inlineStr">
        <is>
          <t>Channa Mereya</t>
        </is>
      </c>
      <c r="C5" s="4" t="inlineStr">
        <is>
          <t>Arijit Singh</t>
        </is>
      </c>
      <c r="D5" s="4" t="inlineStr">
        <is>
          <t>2016-10-28</t>
        </is>
      </c>
      <c r="E5" s="4" t="n">
        <v>289</v>
      </c>
    </row>
    <row r="6">
      <c r="A6" s="3" t="inlineStr">
        <is>
          <t>TRK-103</t>
        </is>
      </c>
      <c r="B6" s="3" t="inlineStr">
        <is>
          <t>Kesariya</t>
        </is>
      </c>
      <c r="C6" s="3" t="inlineStr">
        <is>
          <t>Arijit Singh</t>
        </is>
      </c>
      <c r="D6" s="3" t="inlineStr">
        <is>
          <t>2022-07-17</t>
        </is>
      </c>
      <c r="E6" s="3" t="n">
        <v>268</v>
      </c>
    </row>
    <row r="7">
      <c r="A7" s="4" t="inlineStr">
        <is>
          <t>TRK-104</t>
        </is>
      </c>
      <c r="B7" s="4" t="inlineStr">
        <is>
          <t>Apna Bana Le</t>
        </is>
      </c>
      <c r="C7" s="4" t="inlineStr">
        <is>
          <t>Arijit Singh &amp; Sachin-Jigar</t>
        </is>
      </c>
      <c r="D7" s="4" t="inlineStr">
        <is>
          <t>2022-11-05</t>
        </is>
      </c>
      <c r="E7" s="4" t="n">
        <v>261</v>
      </c>
    </row>
    <row r="8">
      <c r="A8" s="3" t="inlineStr">
        <is>
          <t>TRK-105</t>
        </is>
      </c>
      <c r="B8" s="3" t="inlineStr">
        <is>
          <t>Pee Loon</t>
        </is>
      </c>
      <c r="C8" s="3" t="inlineStr">
        <is>
          <t>Mohit Chauhan</t>
        </is>
      </c>
      <c r="D8" s="3" t="inlineStr">
        <is>
          <t>2010-07-30</t>
        </is>
      </c>
      <c r="E8" s="3" t="n">
        <v>287</v>
      </c>
    </row>
    <row r="9">
      <c r="A9" s="4" t="inlineStr">
        <is>
          <t>TRK-106</t>
        </is>
      </c>
      <c r="B9" s="4" t="inlineStr">
        <is>
          <t>Ilahi</t>
        </is>
      </c>
      <c r="C9" s="4" t="inlineStr">
        <is>
          <t>Arijit Singh</t>
        </is>
      </c>
      <c r="D9" s="4" t="inlineStr">
        <is>
          <t>2013-05-31</t>
        </is>
      </c>
      <c r="E9" s="4" t="n">
        <v>229</v>
      </c>
    </row>
    <row r="10">
      <c r="D10" s="6" t="inlineStr">
        <is>
          <t>Total Duration (A1 Style Formula: =SUM(E4:E9)):</t>
        </is>
      </c>
      <c r="E10" s="7">
        <f>SUM(E4:E9)</f>
        <v/>
      </c>
    </row>
    <row r="11">
      <c r="D11" s="8" t="inlineStr">
        <is>
          <t>Equivalent R1C1 Formula:</t>
        </is>
      </c>
      <c r="E11" s="9">
        <f>SUM(R[-6]C:R[-1]C)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28" customWidth="1" min="3" max="3"/>
    <col width="15" customWidth="1" min="4" max="4"/>
    <col width="30" customWidth="1" min="5" max="5"/>
  </cols>
  <sheetData>
    <row r="1">
      <c r="A1" s="5" t="inlineStr">
        <is>
          <t>Task 2: Artists Directory</t>
        </is>
      </c>
    </row>
    <row r="2"/>
    <row r="3">
      <c r="A3" s="2" t="inlineStr">
        <is>
          <t>Artist ID</t>
        </is>
      </c>
      <c r="B3" s="2" t="inlineStr">
        <is>
          <t>Artist Name</t>
        </is>
      </c>
      <c r="C3" s="2" t="inlineStr">
        <is>
          <t>Monthly Spotify Listeners</t>
        </is>
      </c>
      <c r="D3" s="2" t="inlineStr">
        <is>
          <t>Active Since</t>
        </is>
      </c>
      <c r="E3" s="2" t="inlineStr">
        <is>
          <t>Primary Genre</t>
        </is>
      </c>
    </row>
    <row r="4">
      <c r="A4" s="3" t="inlineStr">
        <is>
          <t>ART-01</t>
        </is>
      </c>
      <c r="B4" s="3" t="inlineStr">
        <is>
          <t>Arijit Singh</t>
        </is>
      </c>
      <c r="C4" s="3" t="n">
        <v>42500000</v>
      </c>
      <c r="D4" s="3" t="n">
        <v>2011</v>
      </c>
      <c r="E4" s="3" t="inlineStr">
        <is>
          <t>Bollywood Romantic</t>
        </is>
      </c>
    </row>
    <row r="5">
      <c r="A5" s="4" t="inlineStr">
        <is>
          <t>ART-02</t>
        </is>
      </c>
      <c r="B5" s="4" t="inlineStr">
        <is>
          <t>Diljit Dosanjh</t>
        </is>
      </c>
      <c r="C5" s="4" t="n">
        <v>21300000</v>
      </c>
      <c r="D5" s="4" t="n">
        <v>2004</v>
      </c>
      <c r="E5" s="4" t="inlineStr">
        <is>
          <t>Punjabi Pop / Folk</t>
        </is>
      </c>
    </row>
    <row r="6">
      <c r="A6" s="3" t="inlineStr">
        <is>
          <t>ART-03</t>
        </is>
      </c>
      <c r="B6" s="3" t="inlineStr">
        <is>
          <t>Shreya Ghoshal</t>
        </is>
      </c>
      <c r="C6" s="3" t="n">
        <v>31400000</v>
      </c>
      <c r="D6" s="3" t="n">
        <v>2002</v>
      </c>
      <c r="E6" s="3" t="inlineStr">
        <is>
          <t>Indian Classical / Playback</t>
        </is>
      </c>
    </row>
    <row r="7">
      <c r="A7" s="4" t="inlineStr">
        <is>
          <t>ART-04</t>
        </is>
      </c>
      <c r="B7" s="4" t="inlineStr">
        <is>
          <t>Mohit Chauhan</t>
        </is>
      </c>
      <c r="C7" s="4" t="n">
        <v>14200000</v>
      </c>
      <c r="D7" s="4" t="n">
        <v>2002</v>
      </c>
      <c r="E7" s="4" t="inlineStr">
        <is>
          <t>Sufi Rock / Pop</t>
        </is>
      </c>
    </row>
    <row r="8">
      <c r="A8" s="3" t="inlineStr">
        <is>
          <t>ART-05</t>
        </is>
      </c>
      <c r="B8" s="3" t="inlineStr">
        <is>
          <t>Pritam</t>
        </is>
      </c>
      <c r="C8" s="3" t="n">
        <v>28900000</v>
      </c>
      <c r="D8" s="3" t="n">
        <v>2001</v>
      </c>
      <c r="E8" s="3" t="inlineStr">
        <is>
          <t>Film Score / Soundtrack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13" customWidth="1" min="1" max="1"/>
    <col width="30" customWidth="1" min="2" max="2"/>
    <col width="12" customWidth="1" min="3" max="3"/>
    <col width="34" customWidth="1" min="4" max="4"/>
    <col width="23" customWidth="1" min="5" max="5"/>
    <col width="35" customWidth="1" min="6" max="6"/>
  </cols>
  <sheetData>
    <row r="1">
      <c r="A1" s="5" t="inlineStr">
        <is>
          <t>Task 4: Absolute ($B$1) vs Relative (B1) Reference Demonstration</t>
        </is>
      </c>
    </row>
    <row r="2"/>
    <row r="3">
      <c r="A3" s="6" t="inlineStr">
        <is>
          <t>Configured GST Rate:</t>
        </is>
      </c>
      <c r="B3" s="10" t="n">
        <v>0.18</v>
      </c>
    </row>
    <row r="4"/>
    <row r="5">
      <c r="A5" s="2" t="inlineStr">
        <is>
          <t>Item ID</t>
        </is>
      </c>
      <c r="B5" s="2" t="inlineStr">
        <is>
          <t>Item Description</t>
        </is>
      </c>
      <c r="C5" s="2" t="inlineStr">
        <is>
          <t>Price (₹)</t>
        </is>
      </c>
      <c r="D5" s="2" t="inlineStr">
        <is>
          <t>GST Amount (Absolute: =C6*$B$3)</t>
        </is>
      </c>
      <c r="E5" s="2" t="inlineStr">
        <is>
          <t>Total Price (=C6+D6)</t>
        </is>
      </c>
      <c r="F5" s="2" t="inlineStr">
        <is>
          <t>Incorrect Relative Test (=C6*B5)</t>
        </is>
      </c>
    </row>
    <row r="6">
      <c r="A6" s="3" t="inlineStr">
        <is>
          <t>ITM-01</t>
        </is>
      </c>
      <c r="B6" s="3" t="inlineStr">
        <is>
          <t>Wireless Mouse</t>
        </is>
      </c>
      <c r="C6" s="11" t="n">
        <v>850</v>
      </c>
      <c r="D6" s="11">
        <f>C6*$B$3</f>
        <v/>
      </c>
      <c r="E6" s="11">
        <f>C6+D6</f>
        <v/>
      </c>
      <c r="F6" s="11">
        <f>C6*B5</f>
        <v/>
      </c>
    </row>
    <row r="7">
      <c r="A7" s="4" t="inlineStr">
        <is>
          <t>ITM-02</t>
        </is>
      </c>
      <c r="B7" s="4" t="inlineStr">
        <is>
          <t>Mechanical Keyboard</t>
        </is>
      </c>
      <c r="C7" s="12" t="n">
        <v>3200</v>
      </c>
      <c r="D7" s="12">
        <f>C7*$B$3</f>
        <v/>
      </c>
      <c r="E7" s="12">
        <f>C7+D7</f>
        <v/>
      </c>
      <c r="F7" s="12">
        <f>C7*B6</f>
        <v/>
      </c>
    </row>
    <row r="8">
      <c r="A8" s="3" t="inlineStr">
        <is>
          <t>ITM-03</t>
        </is>
      </c>
      <c r="B8" s="3" t="inlineStr">
        <is>
          <t>USB-C Hub</t>
        </is>
      </c>
      <c r="C8" s="11" t="n">
        <v>1450</v>
      </c>
      <c r="D8" s="11">
        <f>C8*$B$3</f>
        <v/>
      </c>
      <c r="E8" s="11">
        <f>C8+D8</f>
        <v/>
      </c>
      <c r="F8" s="11">
        <f>C8*B7</f>
        <v/>
      </c>
    </row>
    <row r="9">
      <c r="A9" s="4" t="inlineStr">
        <is>
          <t>ITM-04</t>
        </is>
      </c>
      <c r="B9" s="4" t="inlineStr">
        <is>
          <t>Noise Cancelling Headphones</t>
        </is>
      </c>
      <c r="C9" s="12" t="n">
        <v>7900</v>
      </c>
      <c r="D9" s="12">
        <f>C9*$B$3</f>
        <v/>
      </c>
      <c r="E9" s="12">
        <f>C9+D9</f>
        <v/>
      </c>
      <c r="F9" s="12">
        <f>C9*B8</f>
        <v/>
      </c>
    </row>
    <row r="10">
      <c r="A10" s="3" t="inlineStr">
        <is>
          <t>ITM-05</t>
        </is>
      </c>
      <c r="B10" s="3" t="inlineStr">
        <is>
          <t>27-inch 4K Monitor</t>
        </is>
      </c>
      <c r="C10" s="11" t="n">
        <v>24500</v>
      </c>
      <c r="D10" s="11">
        <f>C10*$B$3</f>
        <v/>
      </c>
      <c r="E10" s="11">
        <f>C10+D10</f>
        <v/>
      </c>
      <c r="F10" s="11">
        <f>C10*B9</f>
        <v/>
      </c>
    </row>
    <row r="11"/>
    <row r="12">
      <c r="A12" s="13" t="inlineStr">
        <is>
          <t>Key Concept: Absolute reference ($B$3) locks the GST rate cell across all rows, preventing calculation errors.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0" customWidth="1" min="1" max="1"/>
    <col width="24" customWidth="1" min="2" max="2"/>
    <col width="23" customWidth="1" min="3" max="3"/>
    <col width="31" customWidth="1" min="4" max="4"/>
    <col width="28" customWidth="1" min="5" max="5"/>
    <col width="66" customWidth="1" min="6" max="6"/>
  </cols>
  <sheetData>
    <row r="1">
      <c r="A1" s="5" t="inlineStr">
        <is>
          <t>Task 5: Raw Kaggle/E-commerce Order Data - Identification &amp; Cleanup</t>
        </is>
      </c>
    </row>
    <row r="2"/>
    <row r="3">
      <c r="A3" s="2" t="inlineStr">
        <is>
          <t>Order ID</t>
        </is>
      </c>
      <c r="B3" s="2" t="inlineStr">
        <is>
          <t>Raw Order Date (Text)</t>
        </is>
      </c>
      <c r="C3" s="2" t="inlineStr">
        <is>
          <t>Corrected Order Date</t>
        </is>
      </c>
      <c r="D3" s="2" t="inlineStr">
        <is>
          <t>Raw Unit Price (Text with ₹)</t>
        </is>
      </c>
      <c r="E3" s="2" t="inlineStr">
        <is>
          <t>Corrected Price (Numeric)</t>
        </is>
      </c>
      <c r="F3" s="2" t="inlineStr">
        <is>
          <t>Customer Notes / Issue Identified</t>
        </is>
      </c>
    </row>
    <row r="4">
      <c r="A4" s="3" t="inlineStr">
        <is>
          <t>ODR-901</t>
        </is>
      </c>
      <c r="B4" s="3" t="inlineStr">
        <is>
          <t>'2024.03.15</t>
        </is>
      </c>
      <c r="C4" s="14">
        <f>DATE(2024,3,15)</f>
        <v/>
      </c>
      <c r="D4" s="3" t="inlineStr">
        <is>
          <t>₹1,450.00</t>
        </is>
      </c>
      <c r="E4" s="11" t="n">
        <v>1450</v>
      </c>
      <c r="F4" s="3" t="inlineStr">
        <is>
          <t>Date stored as string with dots; converted to Date serial</t>
        </is>
      </c>
    </row>
    <row r="5">
      <c r="A5" s="4" t="inlineStr">
        <is>
          <t>ODR-902</t>
        </is>
      </c>
      <c r="B5" s="4" t="inlineStr">
        <is>
          <t>'2024.03.18</t>
        </is>
      </c>
      <c r="C5" s="15">
        <f>DATE(2024,3,18)</f>
        <v/>
      </c>
      <c r="D5" s="4" t="inlineStr">
        <is>
          <t>₹3,200.00</t>
        </is>
      </c>
      <c r="E5" s="12" t="n">
        <v>3200</v>
      </c>
      <c r="F5" s="4" t="inlineStr">
        <is>
          <t>Currency sign prepended as text; stripped using Text to Columns</t>
        </is>
      </c>
    </row>
    <row r="6">
      <c r="A6" s="3" t="inlineStr">
        <is>
          <t>ODR-903</t>
        </is>
      </c>
      <c r="B6" s="3" t="inlineStr">
        <is>
          <t>'2024.03.22</t>
        </is>
      </c>
      <c r="C6" s="14">
        <f>DATE(2024,3,22)</f>
        <v/>
      </c>
      <c r="D6" s="3" t="inlineStr">
        <is>
          <t>₹850.00</t>
        </is>
      </c>
      <c r="E6" s="11" t="n">
        <v>850</v>
      </c>
      <c r="F6" s="3" t="inlineStr">
        <is>
          <t>Numeric values stored as text; converted using NUMBERVALUE</t>
        </is>
      </c>
    </row>
    <row r="7">
      <c r="A7" s="4" t="inlineStr">
        <is>
          <t>ODR-904</t>
        </is>
      </c>
      <c r="B7" s="4" t="inlineStr">
        <is>
          <t>'2024.03.25</t>
        </is>
      </c>
      <c r="C7" s="15">
        <f>DATE(2024,3,25)</f>
        <v/>
      </c>
      <c r="D7" s="4" t="inlineStr">
        <is>
          <t>₹12,400.00</t>
        </is>
      </c>
      <c r="E7" s="12" t="n">
        <v>12400</v>
      </c>
      <c r="F7" s="4" t="inlineStr">
        <is>
          <t>Cleaned and formatted to standard accounting numbers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2026-09-02T06:17:20Z</dcterms:created>
  <dcterms:modified xmlns:dcterms="http://purl.org/dc/terms/" xmlns:xsi="http://www.w3.org/2001/XMLSchema-instance" xsi:type="dcterms:W3CDTF">2026-09-02T06:17:20Z</dcterms:modified>
</cp:coreProperties>
</file>