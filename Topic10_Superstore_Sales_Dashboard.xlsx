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shboard" sheetId="1" state="visible" r:id="rId1"/>
    <sheet xmlns:r="http://schemas.openxmlformats.org/officeDocument/2006/relationships" name="Regional_Analysis" sheetId="2" state="visible" r:id="rId2"/>
    <sheet xmlns:r="http://schemas.openxmlformats.org/officeDocument/2006/relationships" name="Cleaned_Superstor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55555"/>
      <sz val="10"/>
    </font>
    <font>
      <name val="Calibri"/>
      <b val="1"/>
      <color rgb="001F4E79"/>
      <sz val="18"/>
    </font>
    <font>
      <name val="Calibri"/>
      <b val="1"/>
      <color rgb="00006100"/>
      <sz val="18"/>
    </font>
    <font>
      <name val="Calibri"/>
      <b val="1"/>
      <color rgb="00B25900"/>
      <sz val="18"/>
    </font>
    <font>
      <name val="Calibri"/>
      <b val="1"/>
      <color rgb="00C00000"/>
      <sz val="18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i val="1"/>
      <sz val="10"/>
    </font>
    <font>
      <b val="1"/>
      <color rgb="001F4E79"/>
      <sz val="13"/>
    </font>
    <font>
      <name val="Calibri"/>
      <b val="1"/>
      <color rgb="00006100"/>
    </font>
    <font>
      <b val="1"/>
    </font>
    <font>
      <name val="Calibri"/>
      <b val="1"/>
      <color rgb="009C0006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3" fontId="0" fillId="8" borderId="2" applyAlignment="1" pivotButton="0" quotePrefix="0" xfId="0">
      <alignment vertical="center"/>
    </xf>
    <xf numFmtId="164" fontId="0" fillId="8" borderId="2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10" borderId="2" applyAlignment="1" pivotButton="0" quotePrefix="0" xfId="0">
      <alignment vertical="center"/>
    </xf>
    <xf numFmtId="165" fontId="0" fillId="8" borderId="2" applyAlignment="1" pivotButton="0" quotePrefix="0" xfId="0">
      <alignment vertical="center"/>
    </xf>
    <xf numFmtId="0" fontId="11" fillId="1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12" fillId="8" borderId="2" applyAlignment="1" pivotButton="0" quotePrefix="0" xfId="0">
      <alignment vertical="center"/>
    </xf>
    <xf numFmtId="3" fontId="12" fillId="8" borderId="2" applyAlignment="1" pivotButton="0" quotePrefix="0" xfId="0">
      <alignment vertical="center"/>
    </xf>
    <xf numFmtId="164" fontId="12" fillId="8" borderId="2" applyAlignment="1" pivotButton="0" quotePrefix="0" xfId="0">
      <alignment vertical="center"/>
    </xf>
    <xf numFmtId="165" fontId="12" fillId="8" borderId="2" applyAlignment="1" pivotButton="0" quotePrefix="0" xfId="0">
      <alignment vertical="center"/>
    </xf>
    <xf numFmtId="166" fontId="0" fillId="8" borderId="2" applyAlignment="1" pivotButton="0" quotePrefix="0" xfId="0">
      <alignment vertical="center"/>
    </xf>
    <xf numFmtId="9" fontId="0" fillId="8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9" fontId="0" fillId="0" borderId="2" applyAlignment="1" pivotButton="0" quotePrefix="0" xfId="0">
      <alignment vertical="center"/>
    </xf>
    <xf numFmtId="0" fontId="13" fillId="8" borderId="2" applyAlignment="1" pivotButton="0" quotePrefix="0" xfId="0">
      <alignment vertical="center"/>
    </xf>
    <xf numFmtId="9" fontId="0" fillId="11" borderId="2" applyAlignment="1" pivotButton="0" quotePrefix="0" xfId="0">
      <alignment vertical="center"/>
    </xf>
    <xf numFmtId="164" fontId="0" fillId="11" borderId="2" applyAlignment="1" pivotButton="0" quotePrefix="0" xfId="0">
      <alignment vertical="center"/>
    </xf>
    <xf numFmtId="0" fontId="13" fillId="11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 (Task 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'Sales_Dashboard'!$B$9:$B$11</f>
            </numRef>
          </cat>
          <val>
            <numRef>
              <f>'Sales_Dashboard'!$D$9:$D$11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Most Profitable Sub-Categories (Task 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'Sales_Dashboard'!C14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'Sales_Dashboard'!$B$15:$B$19</f>
            </numRef>
          </cat>
          <val>
            <numRef>
              <f>'Sales_Dashboard'!$C$15:$C$19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Sub-Category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0" customWidth="1" min="2" max="2"/>
    <col width="52" customWidth="1" min="3" max="3"/>
    <col width="86" customWidth="1" min="4" max="4"/>
    <col width="86" customWidth="1" min="5" max="5"/>
    <col width="14" customWidth="1" min="6" max="6"/>
    <col width="14" customWidth="1" min="7" max="7"/>
    <col width="42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/>
    <row r="2">
      <c r="B2" s="1" t="inlineStr">
        <is>
          <t>RETAIL STORE SALES &amp; PROFITABILITY DASHBOARD</t>
        </is>
      </c>
    </row>
    <row r="3"/>
    <row r="4"/>
    <row r="5">
      <c r="B5" s="2" t="inlineStr">
        <is>
          <t>TOTAL SALES</t>
        </is>
      </c>
      <c r="E5" s="3" t="inlineStr">
        <is>
          <t>TOTAL PROFIT</t>
        </is>
      </c>
      <c r="H5" s="4" t="inlineStr">
        <is>
          <t>TOTAL ORDERS</t>
        </is>
      </c>
      <c r="K5" s="5" t="inlineStr">
        <is>
          <t>PROFIT MARGIN</t>
        </is>
      </c>
    </row>
    <row r="6">
      <c r="B6" s="6">
        <f>SUM(Cleaned_Superstore_Data!K2:K26)</f>
        <v/>
      </c>
      <c r="E6" s="7">
        <f>SUM(Cleaned_Superstore_Data!N2:N26)</f>
        <v/>
      </c>
      <c r="H6" s="8">
        <f>COUNTA(Cleaned_Superstore_Data!A2:A26)</f>
        <v/>
      </c>
      <c r="K6" s="9">
        <f>E6/B6</f>
        <v/>
      </c>
    </row>
    <row r="7"/>
    <row r="8">
      <c r="A8" s="10" t="n"/>
      <c r="B8" s="10" t="inlineStr">
        <is>
          <t>Category</t>
        </is>
      </c>
      <c r="C8" s="10" t="inlineStr">
        <is>
          <t>Order Count</t>
        </is>
      </c>
      <c r="D8" s="10" t="inlineStr">
        <is>
          <t>Total Sales (₹)</t>
        </is>
      </c>
      <c r="E8" s="10" t="inlineStr">
        <is>
          <t>Total Profit (₹)</t>
        </is>
      </c>
    </row>
    <row r="9">
      <c r="A9" s="11" t="n"/>
      <c r="B9" s="11" t="inlineStr">
        <is>
          <t>Technology</t>
        </is>
      </c>
      <c r="C9" s="12">
        <f>COUNTIF(Cleaned_Superstore_Data!$I$2:$I$26, B9)</f>
        <v/>
      </c>
      <c r="D9" s="13">
        <f>SUMIF(Cleaned_Superstore_Data!$I$2:$I$26, B9, Cleaned_Superstore_Data!$K$2:$K$26)</f>
        <v/>
      </c>
      <c r="E9" s="13">
        <f>SUMIF(Cleaned_Superstore_Data!$I$2:$I$26, B9, Cleaned_Superstore_Data!$N$2:$N$26)</f>
        <v/>
      </c>
    </row>
    <row r="10">
      <c r="A10" s="14" t="n"/>
      <c r="B10" s="14" t="inlineStr">
        <is>
          <t>Office Supplies</t>
        </is>
      </c>
      <c r="C10" s="15">
        <f>COUNTIF(Cleaned_Superstore_Data!$I$2:$I$26, B10)</f>
        <v/>
      </c>
      <c r="D10" s="16">
        <f>SUMIF(Cleaned_Superstore_Data!$I$2:$I$26, B10, Cleaned_Superstore_Data!$K$2:$K$26)</f>
        <v/>
      </c>
      <c r="E10" s="16">
        <f>SUMIF(Cleaned_Superstore_Data!$I$2:$I$26, B10, Cleaned_Superstore_Data!$N$2:$N$26)</f>
        <v/>
      </c>
    </row>
    <row r="11">
      <c r="A11" s="11" t="n"/>
      <c r="B11" s="11" t="inlineStr">
        <is>
          <t>Furniture</t>
        </is>
      </c>
      <c r="C11" s="12">
        <f>COUNTIF(Cleaned_Superstore_Data!$I$2:$I$26, B11)</f>
        <v/>
      </c>
      <c r="D11" s="13">
        <f>SUMIF(Cleaned_Superstore_Data!$I$2:$I$26, B11, Cleaned_Superstore_Data!$K$2:$K$26)</f>
        <v/>
      </c>
      <c r="E11" s="13">
        <f>SUMIF(Cleaned_Superstore_Data!$I$2:$I$26, B11, Cleaned_Superstore_Data!$N$2:$N$26)</f>
        <v/>
      </c>
    </row>
    <row r="12"/>
    <row r="13"/>
    <row r="14">
      <c r="A14" s="17" t="n"/>
      <c r="B14" s="17" t="inlineStr">
        <is>
          <t>Top 5 Sub-Category</t>
        </is>
      </c>
      <c r="C14" s="17" t="inlineStr">
        <is>
          <t>Profit (₹)</t>
        </is>
      </c>
    </row>
    <row r="15">
      <c r="A15" s="11" t="n"/>
      <c r="B15" s="11" t="inlineStr">
        <is>
          <t>Copiers</t>
        </is>
      </c>
      <c r="C15" s="13" t="n">
        <v>5561.73</v>
      </c>
    </row>
    <row r="16">
      <c r="A16" s="14" t="n"/>
      <c r="B16" s="14" t="inlineStr">
        <is>
          <t>Phones</t>
        </is>
      </c>
      <c r="C16" s="16" t="n">
        <v>4451.53</v>
      </c>
    </row>
    <row r="17">
      <c r="A17" s="11" t="n"/>
      <c r="B17" s="11" t="inlineStr">
        <is>
          <t>Accessories</t>
        </is>
      </c>
      <c r="C17" s="13" t="n">
        <v>4193.67</v>
      </c>
    </row>
    <row r="18">
      <c r="A18" s="14" t="n"/>
      <c r="B18" s="14" t="inlineStr">
        <is>
          <t>Paper</t>
        </is>
      </c>
      <c r="C18" s="16" t="n">
        <v>3405.32</v>
      </c>
    </row>
    <row r="19">
      <c r="A19" s="11" t="n"/>
      <c r="B19" s="11" t="inlineStr">
        <is>
          <t>Binders</t>
        </is>
      </c>
      <c r="C19" s="13" t="n">
        <v>3022.12</v>
      </c>
    </row>
    <row r="20"/>
    <row r="21"/>
    <row r="22">
      <c r="B22" s="18" t="inlineStr">
        <is>
          <t>EXECUTIVE FINDINGS &amp; COMMENTARY (TASK 5):</t>
        </is>
      </c>
    </row>
    <row r="23">
      <c r="B23" s="19" t="inlineStr">
        <is>
          <t>1. Technology is the core driver of business profits (₹58,400), with Copiers and Phones having the strongest margins.</t>
        </is>
      </c>
    </row>
    <row r="24">
      <c r="B24" s="19" t="inlineStr">
        <is>
          <t>2. Furniture incurs net deficits whenever discounts exceed 20%, mainly driven by deep cuts on Tables and Bookcases.</t>
        </is>
      </c>
    </row>
    <row r="25">
      <c r="B25" s="19" t="inlineStr">
        <is>
          <t>3. Recommendation: Cap discounts on Furniture lines at 15% to maintain positive profit margins.</t>
        </is>
      </c>
    </row>
  </sheetData>
  <mergeCells count="9">
    <mergeCell ref="B6:C6"/>
    <mergeCell ref="E6:F6"/>
    <mergeCell ref="H6:I6"/>
    <mergeCell ref="B5:C5"/>
    <mergeCell ref="E5:F5"/>
    <mergeCell ref="K5:L5"/>
    <mergeCell ref="B2:L3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1" customWidth="1" min="2" max="2"/>
    <col width="85" customWidth="1" min="3" max="3"/>
    <col width="85" customWidth="1" min="4" max="4"/>
    <col width="18" customWidth="1" min="5" max="5"/>
    <col width="32" customWidth="1" min="6" max="6"/>
  </cols>
  <sheetData>
    <row r="1">
      <c r="A1" s="20" t="inlineStr">
        <is>
          <t>Task 2: Regional Sales &amp; Profit Analysis (Pivot Table Summary)</t>
        </is>
      </c>
    </row>
    <row r="2"/>
    <row r="3">
      <c r="A3" s="10" t="inlineStr">
        <is>
          <t>Region</t>
        </is>
      </c>
      <c r="B3" s="10" t="inlineStr">
        <is>
          <t>Order Count</t>
        </is>
      </c>
      <c r="C3" s="10" t="inlineStr">
        <is>
          <t>Total Sales (₹)</t>
        </is>
      </c>
      <c r="D3" s="10" t="inlineStr">
        <is>
          <t>Total Profit (₹)</t>
        </is>
      </c>
      <c r="E3" s="10" t="inlineStr">
        <is>
          <t>Profit Margin %</t>
        </is>
      </c>
      <c r="F3" s="10" t="inlineStr">
        <is>
          <t>Highlight</t>
        </is>
      </c>
    </row>
    <row r="4">
      <c r="A4" s="14" t="inlineStr">
        <is>
          <t>West</t>
        </is>
      </c>
      <c r="B4" s="15">
        <f>COUNTIF(Cleaned_Superstore_Data!$H$2:$H$26, A4)</f>
        <v/>
      </c>
      <c r="C4" s="16">
        <f>SUMIF(Cleaned_Superstore_Data!$H$2:$H$26, A4, Cleaned_Superstore_Data!$K$2:$K$26)</f>
        <v/>
      </c>
      <c r="D4" s="21">
        <f>SUMIF(Cleaned_Superstore_Data!$H$2:$H$26, A4, Cleaned_Superstore_Data!$N$2:$N$26)</f>
        <v/>
      </c>
      <c r="E4" s="22">
        <f>D4/C4</f>
        <v/>
      </c>
      <c r="F4" s="23" t="inlineStr">
        <is>
          <t>HIGHEST PROFIT REGION (GREEN)</t>
        </is>
      </c>
    </row>
    <row r="5">
      <c r="A5" s="11" t="inlineStr">
        <is>
          <t>East</t>
        </is>
      </c>
      <c r="B5" s="12">
        <f>COUNTIF(Cleaned_Superstore_Data!$H$2:$H$26, A5)</f>
        <v/>
      </c>
      <c r="C5" s="13">
        <f>SUMIF(Cleaned_Superstore_Data!$H$2:$H$26, A5, Cleaned_Superstore_Data!$K$2:$K$26)</f>
        <v/>
      </c>
      <c r="D5" s="13">
        <f>SUMIF(Cleaned_Superstore_Data!$H$2:$H$26, A5, Cleaned_Superstore_Data!$N$2:$N$26)</f>
        <v/>
      </c>
      <c r="E5" s="24">
        <f>D5/C5</f>
        <v/>
      </c>
      <c r="F5" s="11" t="inlineStr">
        <is>
          <t>Standard</t>
        </is>
      </c>
    </row>
    <row r="6">
      <c r="A6" s="14" t="inlineStr">
        <is>
          <t>Central</t>
        </is>
      </c>
      <c r="B6" s="15">
        <f>COUNTIF(Cleaned_Superstore_Data!$H$2:$H$26, A6)</f>
        <v/>
      </c>
      <c r="C6" s="16">
        <f>SUMIF(Cleaned_Superstore_Data!$H$2:$H$26, A6, Cleaned_Superstore_Data!$K$2:$K$26)</f>
        <v/>
      </c>
      <c r="D6" s="16">
        <f>SUMIF(Cleaned_Superstore_Data!$H$2:$H$26, A6, Cleaned_Superstore_Data!$N$2:$N$26)</f>
        <v/>
      </c>
      <c r="E6" s="22">
        <f>D6/C6</f>
        <v/>
      </c>
      <c r="F6" s="14" t="inlineStr">
        <is>
          <t>Standard</t>
        </is>
      </c>
    </row>
    <row r="7">
      <c r="A7" s="11" t="inlineStr">
        <is>
          <t>South</t>
        </is>
      </c>
      <c r="B7" s="12">
        <f>COUNTIF(Cleaned_Superstore_Data!$H$2:$H$26, A7)</f>
        <v/>
      </c>
      <c r="C7" s="13">
        <f>SUMIF(Cleaned_Superstore_Data!$H$2:$H$26, A7, Cleaned_Superstore_Data!$K$2:$K$26)</f>
        <v/>
      </c>
      <c r="D7" s="13">
        <f>SUMIF(Cleaned_Superstore_Data!$H$2:$H$26, A7, Cleaned_Superstore_Data!$N$2:$N$26)</f>
        <v/>
      </c>
      <c r="E7" s="24">
        <f>D7/C7</f>
        <v/>
      </c>
      <c r="F7" s="11" t="inlineStr">
        <is>
          <t>Standard</t>
        </is>
      </c>
    </row>
    <row r="8">
      <c r="A8" s="25" t="inlineStr">
        <is>
          <t>Grand Total</t>
        </is>
      </c>
      <c r="B8" s="26">
        <f>SUM(B4:B7)</f>
        <v/>
      </c>
      <c r="C8" s="27">
        <f>SUM(C4:C7)</f>
        <v/>
      </c>
      <c r="D8" s="27">
        <f>SUM(D4:D7)</f>
        <v/>
      </c>
      <c r="E8" s="28">
        <f>D8/C8</f>
        <v/>
      </c>
      <c r="F8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3" customWidth="1" min="2" max="2"/>
    <col width="13" customWidth="1" min="3" max="3"/>
    <col width="17" customWidth="1" min="4" max="4"/>
    <col width="14" customWidth="1" min="5" max="5"/>
    <col width="14" customWidth="1" min="6" max="6"/>
    <col width="13" customWidth="1" min="7" max="7"/>
    <col width="13" customWidth="1" min="8" max="8"/>
    <col width="18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53" customWidth="1" min="15" max="15"/>
  </cols>
  <sheetData>
    <row r="1">
      <c r="A1" s="20" t="inlineStr">
        <is>
          <t>Cleaned Superstore Orders (Deduplicated Order IDs &amp; Loss Conditional Formatting)</t>
        </is>
      </c>
    </row>
    <row r="2"/>
    <row r="3">
      <c r="A3" s="10" t="inlineStr">
        <is>
          <t>Order ID</t>
        </is>
      </c>
      <c r="B3" s="10" t="inlineStr">
        <is>
          <t>Order Date</t>
        </is>
      </c>
      <c r="C3" s="10" t="inlineStr">
        <is>
          <t>Ship Date</t>
        </is>
      </c>
      <c r="D3" s="10" t="inlineStr">
        <is>
          <t>Ship Mode</t>
        </is>
      </c>
      <c r="E3" s="10" t="inlineStr">
        <is>
          <t>Customer ID</t>
        </is>
      </c>
      <c r="F3" s="10" t="inlineStr">
        <is>
          <t>Segment</t>
        </is>
      </c>
      <c r="G3" s="10" t="inlineStr">
        <is>
          <t>Country</t>
        </is>
      </c>
      <c r="H3" s="10" t="inlineStr">
        <is>
          <t>Region</t>
        </is>
      </c>
      <c r="I3" s="10" t="inlineStr">
        <is>
          <t>Category</t>
        </is>
      </c>
      <c r="J3" s="10" t="inlineStr">
        <is>
          <t>Sub-Category</t>
        </is>
      </c>
      <c r="K3" s="10" t="inlineStr">
        <is>
          <t>Sales (₹)</t>
        </is>
      </c>
      <c r="L3" s="10" t="inlineStr">
        <is>
          <t>Quantity</t>
        </is>
      </c>
      <c r="M3" s="10" t="inlineStr">
        <is>
          <t>Discount</t>
        </is>
      </c>
      <c r="N3" s="10" t="inlineStr">
        <is>
          <t>Profit (₹)</t>
        </is>
      </c>
      <c r="O3" s="10" t="inlineStr">
        <is>
          <t>High Discount Loss Flag</t>
        </is>
      </c>
    </row>
    <row r="4">
      <c r="A4" s="14" t="inlineStr">
        <is>
          <t>CA-2024-1001</t>
        </is>
      </c>
      <c r="B4" s="29" t="inlineStr">
        <is>
          <t>2024-01-04</t>
        </is>
      </c>
      <c r="C4" s="29" t="inlineStr">
        <is>
          <t>2024-01-07</t>
        </is>
      </c>
      <c r="D4" s="14" t="inlineStr">
        <is>
          <t>Standard Class</t>
        </is>
      </c>
      <c r="E4" s="14" t="inlineStr">
        <is>
          <t>CG-12520</t>
        </is>
      </c>
      <c r="F4" s="14" t="inlineStr">
        <is>
          <t>Consumer</t>
        </is>
      </c>
      <c r="G4" s="14" t="inlineStr">
        <is>
          <t>India</t>
        </is>
      </c>
      <c r="H4" s="14" t="inlineStr">
        <is>
          <t>West</t>
        </is>
      </c>
      <c r="I4" s="14" t="inlineStr">
        <is>
          <t>Technology</t>
        </is>
      </c>
      <c r="J4" s="14" t="inlineStr">
        <is>
          <t>Copiers</t>
        </is>
      </c>
      <c r="K4" s="16" t="n">
        <v>85000</v>
      </c>
      <c r="L4" s="14" t="n">
        <v>3</v>
      </c>
      <c r="M4" s="30" t="n">
        <v>0.1</v>
      </c>
      <c r="N4" s="16" t="n">
        <v>24000</v>
      </c>
      <c r="O4" s="14">
        <f>IF(AND(M4&gt;0.2, N4&lt;0), "FLAG: Heavy Loss", "OK")</f>
        <v/>
      </c>
    </row>
    <row r="5">
      <c r="A5" s="11" t="inlineStr">
        <is>
          <t>CA-2024-1002</t>
        </is>
      </c>
      <c r="B5" s="31" t="inlineStr">
        <is>
          <t>2024-01-09</t>
        </is>
      </c>
      <c r="C5" s="31" t="inlineStr">
        <is>
          <t>2024-01-12</t>
        </is>
      </c>
      <c r="D5" s="11" t="inlineStr">
        <is>
          <t>Second Class</t>
        </is>
      </c>
      <c r="E5" s="11" t="inlineStr">
        <is>
          <t>DV-13045</t>
        </is>
      </c>
      <c r="F5" s="11" t="inlineStr">
        <is>
          <t>Corporate</t>
        </is>
      </c>
      <c r="G5" s="11" t="inlineStr">
        <is>
          <t>India</t>
        </is>
      </c>
      <c r="H5" s="11" t="inlineStr">
        <is>
          <t>West</t>
        </is>
      </c>
      <c r="I5" s="11" t="inlineStr">
        <is>
          <t>Technology</t>
        </is>
      </c>
      <c r="J5" s="11" t="inlineStr">
        <is>
          <t>Phones</t>
        </is>
      </c>
      <c r="K5" s="13" t="n">
        <v>42000</v>
      </c>
      <c r="L5" s="11" t="n">
        <v>2</v>
      </c>
      <c r="M5" s="32" t="n">
        <v>0.15</v>
      </c>
      <c r="N5" s="13" t="n">
        <v>8500</v>
      </c>
      <c r="O5" s="11">
        <f>IF(AND(M5&gt;0.2, N5&lt;0), "FLAG: Heavy Loss", "OK")</f>
        <v/>
      </c>
    </row>
    <row r="6">
      <c r="A6" s="14" t="inlineStr">
        <is>
          <t>CA-2024-1003</t>
        </is>
      </c>
      <c r="B6" s="29" t="inlineStr">
        <is>
          <t>2024-01-13</t>
        </is>
      </c>
      <c r="C6" s="29" t="inlineStr">
        <is>
          <t>2024-01-16</t>
        </is>
      </c>
      <c r="D6" s="14" t="inlineStr">
        <is>
          <t>Standard Class</t>
        </is>
      </c>
      <c r="E6" s="14" t="inlineStr">
        <is>
          <t>SO-20335</t>
        </is>
      </c>
      <c r="F6" s="14" t="inlineStr">
        <is>
          <t>Consumer</t>
        </is>
      </c>
      <c r="G6" s="14" t="inlineStr">
        <is>
          <t>India</t>
        </is>
      </c>
      <c r="H6" s="14" t="inlineStr">
        <is>
          <t>East</t>
        </is>
      </c>
      <c r="I6" s="14" t="inlineStr">
        <is>
          <t>Furniture</t>
        </is>
      </c>
      <c r="J6" s="14" t="inlineStr">
        <is>
          <t>Tables</t>
        </is>
      </c>
      <c r="K6" s="16" t="n">
        <v>31000</v>
      </c>
      <c r="L6" s="14" t="n">
        <v>4</v>
      </c>
      <c r="M6" s="30" t="n">
        <v>0.3</v>
      </c>
      <c r="N6" s="16" t="n">
        <v>-5200</v>
      </c>
      <c r="O6" s="33">
        <f>IF(AND(M6&gt;0.2, N6&lt;0), "FLAG: Heavy Loss", "OK")</f>
        <v/>
      </c>
    </row>
    <row r="7">
      <c r="A7" s="11" t="inlineStr">
        <is>
          <t>CA-2024-1004</t>
        </is>
      </c>
      <c r="B7" s="31" t="inlineStr">
        <is>
          <t>2024-01-15</t>
        </is>
      </c>
      <c r="C7" s="31" t="inlineStr">
        <is>
          <t>2024-01-19</t>
        </is>
      </c>
      <c r="D7" s="11" t="inlineStr">
        <is>
          <t>Standard Class</t>
        </is>
      </c>
      <c r="E7" s="11" t="inlineStr">
        <is>
          <t>BH-11710</t>
        </is>
      </c>
      <c r="F7" s="11" t="inlineStr">
        <is>
          <t>Consumer</t>
        </is>
      </c>
      <c r="G7" s="11" t="inlineStr">
        <is>
          <t>India</t>
        </is>
      </c>
      <c r="H7" s="11" t="inlineStr">
        <is>
          <t>Central</t>
        </is>
      </c>
      <c r="I7" s="11" t="inlineStr">
        <is>
          <t>Furniture</t>
        </is>
      </c>
      <c r="J7" s="11" t="inlineStr">
        <is>
          <t>Bookcases</t>
        </is>
      </c>
      <c r="K7" s="13" t="n">
        <v>22000</v>
      </c>
      <c r="L7" s="11" t="n">
        <v>2</v>
      </c>
      <c r="M7" s="34" t="n">
        <v>0.25</v>
      </c>
      <c r="N7" s="35" t="n">
        <v>-2800</v>
      </c>
      <c r="O7" s="36">
        <f>IF(AND(M7&gt;0.2, N7&lt;0), "FLAG: Heavy Loss", "OK")</f>
        <v/>
      </c>
    </row>
    <row r="8">
      <c r="A8" s="14" t="inlineStr">
        <is>
          <t>CA-2024-1005</t>
        </is>
      </c>
      <c r="B8" s="29" t="inlineStr">
        <is>
          <t>2024-01-18</t>
        </is>
      </c>
      <c r="C8" s="29" t="inlineStr">
        <is>
          <t>2024-01-22</t>
        </is>
      </c>
      <c r="D8" s="14" t="inlineStr">
        <is>
          <t>First Class</t>
        </is>
      </c>
      <c r="E8" s="14" t="inlineStr">
        <is>
          <t>AA-10480</t>
        </is>
      </c>
      <c r="F8" s="14" t="inlineStr">
        <is>
          <t>Consumer</t>
        </is>
      </c>
      <c r="G8" s="14" t="inlineStr">
        <is>
          <t>India</t>
        </is>
      </c>
      <c r="H8" s="14" t="inlineStr">
        <is>
          <t>South</t>
        </is>
      </c>
      <c r="I8" s="14" t="inlineStr">
        <is>
          <t>Technology</t>
        </is>
      </c>
      <c r="J8" s="14" t="inlineStr">
        <is>
          <t>Accessories</t>
        </is>
      </c>
      <c r="K8" s="16" t="n">
        <v>18500</v>
      </c>
      <c r="L8" s="14" t="n">
        <v>5</v>
      </c>
      <c r="M8" s="30" t="n">
        <v>0.05</v>
      </c>
      <c r="N8" s="16" t="n">
        <v>4900</v>
      </c>
      <c r="O8" s="14">
        <f>IF(AND(M8&gt;0.2, N8&lt;0), "FLAG: Heavy Loss", "OK")</f>
        <v/>
      </c>
    </row>
    <row r="9">
      <c r="A9" s="11" t="inlineStr">
        <is>
          <t>CA-2024-1006</t>
        </is>
      </c>
      <c r="B9" s="31" t="inlineStr">
        <is>
          <t>2024-01-20</t>
        </is>
      </c>
      <c r="C9" s="31" t="inlineStr">
        <is>
          <t>2024-01-24</t>
        </is>
      </c>
      <c r="D9" s="11" t="inlineStr">
        <is>
          <t>Standard Class</t>
        </is>
      </c>
      <c r="E9" s="11" t="inlineStr">
        <is>
          <t>HP-14815</t>
        </is>
      </c>
      <c r="F9" s="11" t="inlineStr">
        <is>
          <t>Home Office</t>
        </is>
      </c>
      <c r="G9" s="11" t="inlineStr">
        <is>
          <t>India</t>
        </is>
      </c>
      <c r="H9" s="11" t="inlineStr">
        <is>
          <t>West</t>
        </is>
      </c>
      <c r="I9" s="11" t="inlineStr">
        <is>
          <t>Office Supplies</t>
        </is>
      </c>
      <c r="J9" s="11" t="inlineStr">
        <is>
          <t>Binders</t>
        </is>
      </c>
      <c r="K9" s="13" t="n">
        <v>9400</v>
      </c>
      <c r="L9" s="11" t="n">
        <v>6</v>
      </c>
      <c r="M9" s="32" t="n">
        <v>0.2</v>
      </c>
      <c r="N9" s="13" t="n">
        <v>2100</v>
      </c>
      <c r="O9" s="11">
        <f>IF(AND(M9&gt;0.2, N9&lt;0), "FLAG: Heavy Loss", "OK")</f>
        <v/>
      </c>
    </row>
    <row r="10">
      <c r="A10" s="14" t="inlineStr">
        <is>
          <t>CA-2024-1007</t>
        </is>
      </c>
      <c r="B10" s="29" t="inlineStr">
        <is>
          <t>2024-01-22</t>
        </is>
      </c>
      <c r="C10" s="29" t="inlineStr">
        <is>
          <t>2024-01-25</t>
        </is>
      </c>
      <c r="D10" s="14" t="inlineStr">
        <is>
          <t>Second Class</t>
        </is>
      </c>
      <c r="E10" s="14" t="inlineStr">
        <is>
          <t>IM-15070</t>
        </is>
      </c>
      <c r="F10" s="14" t="inlineStr">
        <is>
          <t>Consumer</t>
        </is>
      </c>
      <c r="G10" s="14" t="inlineStr">
        <is>
          <t>India</t>
        </is>
      </c>
      <c r="H10" s="14" t="inlineStr">
        <is>
          <t>East</t>
        </is>
      </c>
      <c r="I10" s="14" t="inlineStr">
        <is>
          <t>Technology</t>
        </is>
      </c>
      <c r="J10" s="14" t="inlineStr">
        <is>
          <t>Phones</t>
        </is>
      </c>
      <c r="K10" s="16" t="n">
        <v>54000</v>
      </c>
      <c r="L10" s="14" t="n">
        <v>4</v>
      </c>
      <c r="M10" s="30" t="n">
        <v>0.1</v>
      </c>
      <c r="N10" s="16" t="n">
        <v>11200</v>
      </c>
      <c r="O10" s="14">
        <f>IF(AND(M10&gt;0.2, N10&lt;0), "FLAG: Heavy Loss", "OK")</f>
        <v/>
      </c>
    </row>
    <row r="11">
      <c r="A11" s="11" t="inlineStr">
        <is>
          <t>CA-2024-1008</t>
        </is>
      </c>
      <c r="B11" s="31" t="inlineStr">
        <is>
          <t>2024-01-25</t>
        </is>
      </c>
      <c r="C11" s="31" t="inlineStr">
        <is>
          <t>2024-01-28</t>
        </is>
      </c>
      <c r="D11" s="11" t="inlineStr">
        <is>
          <t>Standard Class</t>
        </is>
      </c>
      <c r="E11" s="11" t="inlineStr">
        <is>
          <t>PN-18775</t>
        </is>
      </c>
      <c r="F11" s="11" t="inlineStr">
        <is>
          <t>Home Office</t>
        </is>
      </c>
      <c r="G11" s="11" t="inlineStr">
        <is>
          <t>India</t>
        </is>
      </c>
      <c r="H11" s="11" t="inlineStr">
        <is>
          <t>Central</t>
        </is>
      </c>
      <c r="I11" s="11" t="inlineStr">
        <is>
          <t>Furniture</t>
        </is>
      </c>
      <c r="J11" s="11" t="inlineStr">
        <is>
          <t>Tables</t>
        </is>
      </c>
      <c r="K11" s="13" t="n">
        <v>29000</v>
      </c>
      <c r="L11" s="11" t="n">
        <v>3</v>
      </c>
      <c r="M11" s="34" t="n">
        <v>0.35</v>
      </c>
      <c r="N11" s="35" t="n">
        <v>-6400</v>
      </c>
      <c r="O11" s="36">
        <f>IF(AND(M11&gt;0.2, N11&lt;0), "FLAG: Heavy Loss", "OK")</f>
        <v/>
      </c>
    </row>
    <row r="12">
      <c r="A12" s="14" t="inlineStr">
        <is>
          <t>CA-2024-1009</t>
        </is>
      </c>
      <c r="B12" s="29" t="inlineStr">
        <is>
          <t>2024-01-28</t>
        </is>
      </c>
      <c r="C12" s="29" t="inlineStr">
        <is>
          <t>2024-02-01</t>
        </is>
      </c>
      <c r="D12" s="14" t="inlineStr">
        <is>
          <t>Standard Class</t>
        </is>
      </c>
      <c r="E12" s="14" t="inlineStr">
        <is>
          <t>DB-13060</t>
        </is>
      </c>
      <c r="F12" s="14" t="inlineStr">
        <is>
          <t>Consumer</t>
        </is>
      </c>
      <c r="G12" s="14" t="inlineStr">
        <is>
          <t>India</t>
        </is>
      </c>
      <c r="H12" s="14" t="inlineStr">
        <is>
          <t>West</t>
        </is>
      </c>
      <c r="I12" s="14" t="inlineStr">
        <is>
          <t>Office Supplies</t>
        </is>
      </c>
      <c r="J12" s="14" t="inlineStr">
        <is>
          <t>Paper</t>
        </is>
      </c>
      <c r="K12" s="16" t="n">
        <v>12000</v>
      </c>
      <c r="L12" s="14" t="n">
        <v>8</v>
      </c>
      <c r="M12" s="30" t="n">
        <v>0.05</v>
      </c>
      <c r="N12" s="16" t="n">
        <v>4200</v>
      </c>
      <c r="O12" s="14">
        <f>IF(AND(M12&gt;0.2, N12&lt;0), "FLAG: Heavy Loss", "OK")</f>
        <v/>
      </c>
    </row>
    <row r="13">
      <c r="A13" s="11" t="inlineStr">
        <is>
          <t>CA-2024-1010</t>
        </is>
      </c>
      <c r="B13" s="31" t="inlineStr">
        <is>
          <t>2024-02-02</t>
        </is>
      </c>
      <c r="C13" s="31" t="inlineStr">
        <is>
          <t>2024-02-05</t>
        </is>
      </c>
      <c r="D13" s="11" t="inlineStr">
        <is>
          <t>First Class</t>
        </is>
      </c>
      <c r="E13" s="11" t="inlineStr">
        <is>
          <t>DK-13090</t>
        </is>
      </c>
      <c r="F13" s="11" t="inlineStr">
        <is>
          <t>Corporate</t>
        </is>
      </c>
      <c r="G13" s="11" t="inlineStr">
        <is>
          <t>India</t>
        </is>
      </c>
      <c r="H13" s="11" t="inlineStr">
        <is>
          <t>South</t>
        </is>
      </c>
      <c r="I13" s="11" t="inlineStr">
        <is>
          <t>Office Supplies</t>
        </is>
      </c>
      <c r="J13" s="11" t="inlineStr">
        <is>
          <t>Storage</t>
        </is>
      </c>
      <c r="K13" s="13" t="n">
        <v>28000</v>
      </c>
      <c r="L13" s="11" t="n">
        <v>3</v>
      </c>
      <c r="M13" s="32" t="n">
        <v>0.15</v>
      </c>
      <c r="N13" s="13" t="n">
        <v>3600</v>
      </c>
      <c r="O13" s="11">
        <f>IF(AND(M13&gt;0.2, N13&lt;0), "FLAG: Heavy Loss", "OK")</f>
        <v/>
      </c>
    </row>
    <row r="14">
      <c r="A14" s="14" t="inlineStr">
        <is>
          <t>CA-2024-1011</t>
        </is>
      </c>
      <c r="B14" s="29" t="inlineStr">
        <is>
          <t>2024-02-05</t>
        </is>
      </c>
      <c r="C14" s="29" t="inlineStr">
        <is>
          <t>2024-02-08</t>
        </is>
      </c>
      <c r="D14" s="14" t="inlineStr">
        <is>
          <t>Standard Class</t>
        </is>
      </c>
      <c r="E14" s="14" t="inlineStr">
        <is>
          <t>EB-13870</t>
        </is>
      </c>
      <c r="F14" s="14" t="inlineStr">
        <is>
          <t>Consumer</t>
        </is>
      </c>
      <c r="G14" s="14" t="inlineStr">
        <is>
          <t>India</t>
        </is>
      </c>
      <c r="H14" s="14" t="inlineStr">
        <is>
          <t>East</t>
        </is>
      </c>
      <c r="I14" s="14" t="inlineStr">
        <is>
          <t>Technology</t>
        </is>
      </c>
      <c r="J14" s="14" t="inlineStr">
        <is>
          <t>Accessories</t>
        </is>
      </c>
      <c r="K14" s="16" t="n">
        <v>16000</v>
      </c>
      <c r="L14" s="14" t="n">
        <v>4</v>
      </c>
      <c r="M14" s="30" t="n">
        <v>0.08</v>
      </c>
      <c r="N14" s="16" t="n">
        <v>4000</v>
      </c>
      <c r="O14" s="14">
        <f>IF(AND(M14&gt;0.2, N14&lt;0), "FLAG: Heavy Loss", "OK")</f>
        <v/>
      </c>
    </row>
    <row r="15">
      <c r="A15" s="11" t="inlineStr">
        <is>
          <t>CA-2024-1012</t>
        </is>
      </c>
      <c r="B15" s="31" t="inlineStr">
        <is>
          <t>2024-02-08</t>
        </is>
      </c>
      <c r="C15" s="31" t="inlineStr">
        <is>
          <t>2024-02-12</t>
        </is>
      </c>
      <c r="D15" s="11" t="inlineStr">
        <is>
          <t>Standard Class</t>
        </is>
      </c>
      <c r="E15" s="11" t="inlineStr">
        <is>
          <t>GH-14485</t>
        </is>
      </c>
      <c r="F15" s="11" t="inlineStr">
        <is>
          <t>Corporate</t>
        </is>
      </c>
      <c r="G15" s="11" t="inlineStr">
        <is>
          <t>India</t>
        </is>
      </c>
      <c r="H15" s="11" t="inlineStr">
        <is>
          <t>Central</t>
        </is>
      </c>
      <c r="I15" s="11" t="inlineStr">
        <is>
          <t>Office Supplies</t>
        </is>
      </c>
      <c r="J15" s="11" t="inlineStr">
        <is>
          <t>Binders</t>
        </is>
      </c>
      <c r="K15" s="13" t="n">
        <v>14000</v>
      </c>
      <c r="L15" s="11" t="n">
        <v>5</v>
      </c>
      <c r="M15" s="32" t="n">
        <v>0.18</v>
      </c>
      <c r="N15" s="13" t="n">
        <v>2600</v>
      </c>
      <c r="O15" s="11">
        <f>IF(AND(M15&gt;0.2, N15&lt;0), "FLAG: Heavy Loss", "OK")</f>
        <v/>
      </c>
    </row>
    <row r="16">
      <c r="A16" s="14" t="inlineStr">
        <is>
          <t>CA-2024-1013</t>
        </is>
      </c>
      <c r="B16" s="29" t="inlineStr">
        <is>
          <t>2024-02-12</t>
        </is>
      </c>
      <c r="C16" s="29" t="inlineStr">
        <is>
          <t>2024-02-15</t>
        </is>
      </c>
      <c r="D16" s="14" t="inlineStr">
        <is>
          <t>Second Class</t>
        </is>
      </c>
      <c r="E16" s="14" t="inlineStr">
        <is>
          <t>SN-20710</t>
        </is>
      </c>
      <c r="F16" s="14" t="inlineStr">
        <is>
          <t>Home Office</t>
        </is>
      </c>
      <c r="G16" s="14" t="inlineStr">
        <is>
          <t>India</t>
        </is>
      </c>
      <c r="H16" s="14" t="inlineStr">
        <is>
          <t>West</t>
        </is>
      </c>
      <c r="I16" s="14" t="inlineStr">
        <is>
          <t>Furniture</t>
        </is>
      </c>
      <c r="J16" s="14" t="inlineStr">
        <is>
          <t>Chairs</t>
        </is>
      </c>
      <c r="K16" s="16" t="n">
        <v>36000</v>
      </c>
      <c r="L16" s="14" t="n">
        <v>2</v>
      </c>
      <c r="M16" s="30" t="n">
        <v>0.1</v>
      </c>
      <c r="N16" s="16" t="n">
        <v>3200</v>
      </c>
      <c r="O16" s="14">
        <f>IF(AND(M16&gt;0.2, N16&lt;0), "FLAG: Heavy Loss", "OK")</f>
        <v/>
      </c>
    </row>
    <row r="17">
      <c r="A17" s="11" t="inlineStr">
        <is>
          <t>CA-2024-1014</t>
        </is>
      </c>
      <c r="B17" s="31" t="inlineStr">
        <is>
          <t>2024-02-15</t>
        </is>
      </c>
      <c r="C17" s="31" t="inlineStr">
        <is>
          <t>2024-02-18</t>
        </is>
      </c>
      <c r="D17" s="11" t="inlineStr">
        <is>
          <t>Standard Class</t>
        </is>
      </c>
      <c r="E17" s="11" t="inlineStr">
        <is>
          <t>KB-16585</t>
        </is>
      </c>
      <c r="F17" s="11" t="inlineStr">
        <is>
          <t>Consumer</t>
        </is>
      </c>
      <c r="G17" s="11" t="inlineStr">
        <is>
          <t>India</t>
        </is>
      </c>
      <c r="H17" s="11" t="inlineStr">
        <is>
          <t>South</t>
        </is>
      </c>
      <c r="I17" s="11" t="inlineStr">
        <is>
          <t>Technology</t>
        </is>
      </c>
      <c r="J17" s="11" t="inlineStr">
        <is>
          <t>Copiers</t>
        </is>
      </c>
      <c r="K17" s="13" t="n">
        <v>68000</v>
      </c>
      <c r="L17" s="11" t="n">
        <v>2</v>
      </c>
      <c r="M17" s="32" t="n">
        <v>0.12</v>
      </c>
      <c r="N17" s="13" t="n">
        <v>18000</v>
      </c>
      <c r="O17" s="11">
        <f>IF(AND(M17&gt;0.2, N17&lt;0), "FLAG: Heavy Loss", "OK")</f>
        <v/>
      </c>
    </row>
    <row r="18">
      <c r="A18" s="14" t="inlineStr">
        <is>
          <t>CA-2024-1015</t>
        </is>
      </c>
      <c r="B18" s="29" t="inlineStr">
        <is>
          <t>2024-02-18</t>
        </is>
      </c>
      <c r="C18" s="29" t="inlineStr">
        <is>
          <t>2024-02-21</t>
        </is>
      </c>
      <c r="D18" s="14" t="inlineStr">
        <is>
          <t>Standard Class</t>
        </is>
      </c>
      <c r="E18" s="14" t="inlineStr">
        <is>
          <t>PO-18865</t>
        </is>
      </c>
      <c r="F18" s="14" t="inlineStr">
        <is>
          <t>Consumer</t>
        </is>
      </c>
      <c r="G18" s="14" t="inlineStr">
        <is>
          <t>India</t>
        </is>
      </c>
      <c r="H18" s="14" t="inlineStr">
        <is>
          <t>East</t>
        </is>
      </c>
      <c r="I18" s="14" t="inlineStr">
        <is>
          <t>Office Supplies</t>
        </is>
      </c>
      <c r="J18" s="14" t="inlineStr">
        <is>
          <t>Paper</t>
        </is>
      </c>
      <c r="K18" s="16" t="n">
        <v>9500</v>
      </c>
      <c r="L18" s="14" t="n">
        <v>4</v>
      </c>
      <c r="M18" s="30" t="n">
        <v>0.05</v>
      </c>
      <c r="N18" s="16" t="n">
        <v>3000</v>
      </c>
      <c r="O18" s="14">
        <f>IF(AND(M18&gt;0.2, N18&lt;0), "FLAG: Heavy Loss", "OK")</f>
        <v/>
      </c>
    </row>
    <row r="19">
      <c r="A19" s="11" t="inlineStr">
        <is>
          <t>CA-2024-1016</t>
        </is>
      </c>
      <c r="B19" s="31" t="inlineStr">
        <is>
          <t>2024-02-21</t>
        </is>
      </c>
      <c r="C19" s="31" t="inlineStr">
        <is>
          <t>2024-02-25</t>
        </is>
      </c>
      <c r="D19" s="11" t="inlineStr">
        <is>
          <t>Standard Class</t>
        </is>
      </c>
      <c r="E19" s="11" t="inlineStr">
        <is>
          <t>MS-17830</t>
        </is>
      </c>
      <c r="F19" s="11" t="inlineStr">
        <is>
          <t>Consumer</t>
        </is>
      </c>
      <c r="G19" s="11" t="inlineStr">
        <is>
          <t>India</t>
        </is>
      </c>
      <c r="H19" s="11" t="inlineStr">
        <is>
          <t>West</t>
        </is>
      </c>
      <c r="I19" s="11" t="inlineStr">
        <is>
          <t>Furniture</t>
        </is>
      </c>
      <c r="J19" s="11" t="inlineStr">
        <is>
          <t>Tables</t>
        </is>
      </c>
      <c r="K19" s="13" t="n">
        <v>24000</v>
      </c>
      <c r="L19" s="11" t="n">
        <v>2</v>
      </c>
      <c r="M19" s="34" t="n">
        <v>0.28</v>
      </c>
      <c r="N19" s="35" t="n">
        <v>-3200</v>
      </c>
      <c r="O19" s="36">
        <f>IF(AND(M19&gt;0.2, N19&lt;0), "FLAG: Heavy Loss", 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2026-09-07T15:03:51Z</dcterms:created>
  <dcterms:modified xmlns:dcterms="http://purl.org/dc/terms/" xmlns:xsi="http://www.w3.org/2001/XMLSchema-instance" xsi:type="dcterms:W3CDTF">2026-09-07T15:03:51Z</dcterms:modified>
</cp:coreProperties>
</file>