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  <sheet xmlns:r="http://schemas.openxmlformats.org/officeDocument/2006/relationships" name="Restaurant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₹#,##0"/>
  </numFmts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name val="Calibri"/>
      <b val="1"/>
      <color rgb="00FFFFFF"/>
      <sz val="11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vertical="center"/>
    </xf>
    <xf numFmtId="164" fontId="0" fillId="4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164" fontId="0" fillId="5" borderId="2" applyAlignment="1" pivotButton="0" quotePrefix="0" xfId="0">
      <alignment vertical="center"/>
    </xf>
    <xf numFmtId="165" fontId="0" fillId="5" borderId="2" applyAlignment="1" pivotButton="0" quotePrefix="0" xfId="0">
      <alignment vertical="center"/>
    </xf>
    <xf numFmtId="0" fontId="3" fillId="0" borderId="0" pivotButton="0" quotePrefix="0" xfId="0"/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72" customWidth="1" min="1" max="1"/>
    <col width="13" customWidth="1" min="2" max="2"/>
    <col width="13" customWidth="1" min="3" max="3"/>
    <col width="20" customWidth="1" min="4" max="4"/>
    <col width="12" customWidth="1" min="5" max="5"/>
    <col width="7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Session 21: Case Study Integrated Orders Dataset (Cleaned &amp; Enriched)</t>
        </is>
      </c>
    </row>
    <row r="2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ORD-601</t>
        </is>
      </c>
      <c r="B4" s="4" t="inlineStr">
        <is>
          <t>2024-05-01</t>
        </is>
      </c>
      <c r="C4" s="4" t="inlineStr">
        <is>
          <t>2024-05-01</t>
        </is>
      </c>
      <c r="D4" s="3">
        <f>TEXT(C4,"dddd")</f>
        <v/>
      </c>
      <c r="E4" s="3" t="inlineStr">
        <is>
          <t>R101</t>
        </is>
      </c>
      <c r="F4" s="3">
        <f>XLOOKUP(E4,Restaurant_Details!$A$4:$A$8,Restaurant_Details!$B$4:$B$8)</f>
        <v/>
      </c>
      <c r="G4" s="3" t="inlineStr">
        <is>
          <t>Ahmedabad</t>
        </is>
      </c>
      <c r="H4" s="3" t="inlineStr">
        <is>
          <t>Swiggy</t>
        </is>
      </c>
      <c r="I4" s="5" t="n">
        <v>850</v>
      </c>
      <c r="J4" s="5" t="n">
        <v>40</v>
      </c>
    </row>
    <row r="5">
      <c r="A5" s="6" t="inlineStr">
        <is>
          <t>ORD-602</t>
        </is>
      </c>
      <c r="B5" s="7" t="inlineStr">
        <is>
          <t>2024-05-02</t>
        </is>
      </c>
      <c r="C5" s="7" t="inlineStr">
        <is>
          <t>2024-05-02</t>
        </is>
      </c>
      <c r="D5" s="6">
        <f>TEXT(C5,"dddd")</f>
        <v/>
      </c>
      <c r="E5" s="6" t="inlineStr">
        <is>
          <t>R102</t>
        </is>
      </c>
      <c r="F5" s="6">
        <f>XLOOKUP(E5,Restaurant_Details!$A$4:$A$8,Restaurant_Details!$B$4:$B$8)</f>
        <v/>
      </c>
      <c r="G5" s="6" t="inlineStr">
        <is>
          <t>Ahmedabad</t>
        </is>
      </c>
      <c r="H5" s="6" t="inlineStr">
        <is>
          <t>Zomato</t>
        </is>
      </c>
      <c r="I5" s="8" t="n">
        <v>490</v>
      </c>
      <c r="J5" s="8" t="n">
        <v>30</v>
      </c>
    </row>
    <row r="6">
      <c r="A6" s="3" t="inlineStr">
        <is>
          <t>ORD-603</t>
        </is>
      </c>
      <c r="B6" s="4" t="inlineStr">
        <is>
          <t>2024-05-03</t>
        </is>
      </c>
      <c r="C6" s="4" t="inlineStr">
        <is>
          <t>2024-05-03</t>
        </is>
      </c>
      <c r="D6" s="3">
        <f>TEXT(C6,"dddd")</f>
        <v/>
      </c>
      <c r="E6" s="3" t="inlineStr">
        <is>
          <t>R103</t>
        </is>
      </c>
      <c r="F6" s="3">
        <f>XLOOKUP(E6,Restaurant_Details!$A$4:$A$8,Restaurant_Details!$B$4:$B$8)</f>
        <v/>
      </c>
      <c r="G6" s="3" t="inlineStr">
        <is>
          <t>Ahmedabad</t>
        </is>
      </c>
      <c r="H6" s="3" t="inlineStr">
        <is>
          <t>Swiggy</t>
        </is>
      </c>
      <c r="I6" s="5" t="n">
        <v>1250</v>
      </c>
      <c r="J6" s="5" t="n">
        <v>50</v>
      </c>
    </row>
    <row r="7">
      <c r="A7" s="6" t="inlineStr">
        <is>
          <t>ORD-604</t>
        </is>
      </c>
      <c r="B7" s="7" t="inlineStr">
        <is>
          <t>2024-05-04</t>
        </is>
      </c>
      <c r="C7" s="7" t="inlineStr">
        <is>
          <t>2024-05-04</t>
        </is>
      </c>
      <c r="D7" s="6">
        <f>TEXT(C7,"dddd")</f>
        <v/>
      </c>
      <c r="E7" s="6" t="inlineStr">
        <is>
          <t>R104</t>
        </is>
      </c>
      <c r="F7" s="6">
        <f>XLOOKUP(E7,Restaurant_Details!$A$4:$A$8,Restaurant_Details!$B$4:$B$8)</f>
        <v/>
      </c>
      <c r="G7" s="6" t="inlineStr">
        <is>
          <t>Surat</t>
        </is>
      </c>
      <c r="H7" s="6" t="inlineStr">
        <is>
          <t>Swiggy</t>
        </is>
      </c>
      <c r="I7" s="8" t="n">
        <v>920</v>
      </c>
      <c r="J7" s="8" t="n">
        <v>40</v>
      </c>
    </row>
    <row r="8">
      <c r="A8" s="3" t="inlineStr">
        <is>
          <t>ORD-605</t>
        </is>
      </c>
      <c r="B8" s="4" t="inlineStr">
        <is>
          <t>2024-05-05</t>
        </is>
      </c>
      <c r="C8" s="4" t="inlineStr">
        <is>
          <t>2024-05-05</t>
        </is>
      </c>
      <c r="D8" s="3">
        <f>TEXT(C8,"dddd")</f>
        <v/>
      </c>
      <c r="E8" s="3" t="inlineStr">
        <is>
          <t>R105</t>
        </is>
      </c>
      <c r="F8" s="3">
        <f>XLOOKUP(E8,Restaurant_Details!$A$4:$A$8,Restaurant_Details!$B$4:$B$8)</f>
        <v/>
      </c>
      <c r="G8" s="3" t="inlineStr">
        <is>
          <t>Vadodara</t>
        </is>
      </c>
      <c r="H8" s="3" t="inlineStr">
        <is>
          <t>Zomato</t>
        </is>
      </c>
      <c r="I8" s="5" t="n">
        <v>1680</v>
      </c>
      <c r="J8" s="5" t="n">
        <v>60</v>
      </c>
    </row>
    <row r="9">
      <c r="A9" s="6" t="inlineStr">
        <is>
          <t>ORD-606</t>
        </is>
      </c>
      <c r="B9" s="7" t="inlineStr">
        <is>
          <t>2024-05-06</t>
        </is>
      </c>
      <c r="C9" s="7" t="inlineStr">
        <is>
          <t>2024-05-06</t>
        </is>
      </c>
      <c r="D9" s="6">
        <f>TEXT(C9,"dddd")</f>
        <v/>
      </c>
      <c r="E9" s="6" t="inlineStr">
        <is>
          <t>R101</t>
        </is>
      </c>
      <c r="F9" s="6">
        <f>XLOOKUP(E9,Restaurant_Details!$A$4:$A$8,Restaurant_Details!$B$4:$B$8)</f>
        <v/>
      </c>
      <c r="G9" s="6" t="inlineStr">
        <is>
          <t>Ahmedabad</t>
        </is>
      </c>
      <c r="H9" s="6" t="inlineStr">
        <is>
          <t>Swiggy</t>
        </is>
      </c>
      <c r="I9" s="8" t="n">
        <v>710</v>
      </c>
      <c r="J9" s="8" t="n">
        <v>40</v>
      </c>
    </row>
    <row r="10">
      <c r="A10" s="3" t="inlineStr">
        <is>
          <t>ORD-607</t>
        </is>
      </c>
      <c r="B10" s="4" t="inlineStr">
        <is>
          <t>2024-05-07</t>
        </is>
      </c>
      <c r="C10" s="4" t="inlineStr">
        <is>
          <t>2024-05-07</t>
        </is>
      </c>
      <c r="D10" s="3">
        <f>TEXT(C10,"dddd")</f>
        <v/>
      </c>
      <c r="E10" s="3" t="inlineStr">
        <is>
          <t>R103</t>
        </is>
      </c>
      <c r="F10" s="3">
        <f>XLOOKUP(E10,Restaurant_Details!$A$4:$A$8,Restaurant_Details!$B$4:$B$8)</f>
        <v/>
      </c>
      <c r="G10" s="3" t="inlineStr">
        <is>
          <t>Ahmedabad</t>
        </is>
      </c>
      <c r="H10" s="3" t="inlineStr">
        <is>
          <t>Zomato</t>
        </is>
      </c>
      <c r="I10" s="5" t="n">
        <v>1420</v>
      </c>
      <c r="J10" s="5" t="n">
        <v>50</v>
      </c>
    </row>
    <row r="11">
      <c r="A11" s="6" t="inlineStr">
        <is>
          <t>ORD-608</t>
        </is>
      </c>
      <c r="B11" s="7" t="inlineStr">
        <is>
          <t>2024-05-08</t>
        </is>
      </c>
      <c r="C11" s="7" t="inlineStr">
        <is>
          <t>2024-05-08</t>
        </is>
      </c>
      <c r="D11" s="6">
        <f>TEXT(C11,"dddd")</f>
        <v/>
      </c>
      <c r="E11" s="6" t="inlineStr">
        <is>
          <t>R104</t>
        </is>
      </c>
      <c r="F11" s="6">
        <f>XLOOKUP(E11,Restaurant_Details!$A$4:$A$8,Restaurant_Details!$B$4:$B$8)</f>
        <v/>
      </c>
      <c r="G11" s="6" t="inlineStr">
        <is>
          <t>Surat</t>
        </is>
      </c>
      <c r="H11" s="6" t="inlineStr">
        <is>
          <t>Swiggy</t>
        </is>
      </c>
      <c r="I11" s="8" t="n">
        <v>880</v>
      </c>
      <c r="J11" s="8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5" customWidth="1" min="4" max="4"/>
  </cols>
  <sheetData>
    <row r="1">
      <c r="A1" s="9" t="inlineStr">
        <is>
          <t>Restaurant Details Master Table</t>
        </is>
      </c>
    </row>
    <row r="2"/>
    <row r="3">
      <c r="A3" s="10" t="n"/>
      <c r="B3" s="10" t="n"/>
      <c r="C3" s="10" t="n"/>
      <c r="D3" s="10" t="n"/>
    </row>
    <row r="4">
      <c r="A4" s="3" t="inlineStr">
        <is>
          <t>R101</t>
        </is>
      </c>
      <c r="B4" s="3" t="inlineStr">
        <is>
          <t>Honest Restaurant</t>
        </is>
      </c>
      <c r="C4" s="3" t="inlineStr">
        <is>
          <t>Ahmedabad</t>
        </is>
      </c>
      <c r="D4" s="3" t="inlineStr">
        <is>
          <t>North Indian</t>
        </is>
      </c>
    </row>
    <row r="5">
      <c r="A5" s="6" t="inlineStr">
        <is>
          <t>R102</t>
        </is>
      </c>
      <c r="B5" s="6" t="inlineStr">
        <is>
          <t>Gwalia Sweets</t>
        </is>
      </c>
      <c r="C5" s="6" t="inlineStr">
        <is>
          <t>Ahmedabad</t>
        </is>
      </c>
      <c r="D5" s="6" t="inlineStr">
        <is>
          <t>Street Food</t>
        </is>
      </c>
    </row>
    <row r="6">
      <c r="A6" s="3" t="inlineStr">
        <is>
          <t>R103</t>
        </is>
      </c>
      <c r="B6" s="3" t="inlineStr">
        <is>
          <t>Tomatoes Cafe</t>
        </is>
      </c>
      <c r="C6" s="3" t="inlineStr">
        <is>
          <t>Ahmedabad</t>
        </is>
      </c>
      <c r="D6" s="3" t="inlineStr">
        <is>
          <t>Continental</t>
        </is>
      </c>
    </row>
    <row r="7">
      <c r="A7" s="6" t="inlineStr">
        <is>
          <t>R104</t>
        </is>
      </c>
      <c r="B7" s="6" t="inlineStr">
        <is>
          <t>Punjab Grill</t>
        </is>
      </c>
      <c r="C7" s="6" t="inlineStr">
        <is>
          <t>Surat</t>
        </is>
      </c>
      <c r="D7" s="6" t="inlineStr">
        <is>
          <t>North Indian</t>
        </is>
      </c>
    </row>
    <row r="8">
      <c r="A8" s="3" t="inlineStr">
        <is>
          <t>R105</t>
        </is>
      </c>
      <c r="B8" s="3" t="inlineStr">
        <is>
          <t>Barbeque Nation</t>
        </is>
      </c>
      <c r="C8" s="3" t="inlineStr">
        <is>
          <t>Vadodara</t>
        </is>
      </c>
      <c r="D8" s="3" t="inlineStr">
        <is>
          <t>Buffet / BBQ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2026-09-03T08:22:58Z</dcterms:created>
  <dcterms:modified xmlns:dcterms="http://purl.org/dc/terms/" xmlns:xsi="http://www.w3.org/2001/XMLSchema-instance" xsi:type="dcterms:W3CDTF">2026-09-03T08:22:58Z</dcterms:modified>
</cp:coreProperties>
</file>