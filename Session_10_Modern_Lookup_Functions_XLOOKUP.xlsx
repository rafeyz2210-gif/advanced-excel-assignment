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rn_Lookups_X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name val="Calibri"/>
      <b val="1"/>
      <color rgb="00FFFFFF"/>
      <sz val="11"/>
    </font>
    <font>
      <b val="1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165" fontId="0" fillId="4" borderId="2" applyAlignment="1" pivotButton="0" quotePrefix="0" xfId="0">
      <alignment vertical="center"/>
    </xf>
    <xf numFmtId="164" fontId="5" fillId="0" borderId="0" pivotButton="0" quotePrefix="0" xfId="0"/>
    <xf numFmtId="165" fontId="0" fillId="3" borderId="2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73" customWidth="1" min="1" max="1"/>
    <col width="59" customWidth="1" min="2" max="2"/>
    <col width="20" customWidth="1" min="3" max="3"/>
    <col width="24" customWidth="1" min="4" max="4"/>
    <col width="12" customWidth="1" min="5" max="5"/>
    <col width="20" customWidth="1" min="6" max="6"/>
    <col width="69" customWidth="1" min="7" max="7"/>
  </cols>
  <sheetData>
    <row r="1">
      <c r="A1" s="1" t="inlineStr">
        <is>
          <t>Session 10: Modern Lookup Functions (XLOOKUP Advanced Features)</t>
        </is>
      </c>
    </row>
    <row r="2"/>
    <row r="3">
      <c r="A3" s="2" t="inlineStr">
        <is>
          <t>Task 1: Basic XLOOKUP (Fetch Product Name from Product ID)</t>
        </is>
      </c>
    </row>
    <row r="4">
      <c r="A4" s="3" t="inlineStr">
        <is>
          <t>Product ID</t>
        </is>
      </c>
      <c r="B4" s="3" t="inlineStr">
        <is>
          <t>Product Name</t>
        </is>
      </c>
      <c r="C4" s="3" t="inlineStr">
        <is>
          <t>Category</t>
        </is>
      </c>
      <c r="D4" s="3" t="inlineStr">
        <is>
          <t>Price (₹)</t>
        </is>
      </c>
      <c r="E4" s="3" t="n"/>
      <c r="F4" s="3" t="inlineStr">
        <is>
          <t>Target Product ID</t>
        </is>
      </c>
      <c r="G4" s="3" t="inlineStr">
        <is>
          <t>XLOOKUP Result (=XLOOKUP(F5,A5:A9,B5:B9))</t>
        </is>
      </c>
    </row>
    <row r="5">
      <c r="A5" s="4" t="inlineStr">
        <is>
          <t>PID-001</t>
        </is>
      </c>
      <c r="B5" s="4" t="inlineStr">
        <is>
          <t>MacBook Pro M3</t>
        </is>
      </c>
      <c r="C5" s="4" t="inlineStr">
        <is>
          <t>Computers</t>
        </is>
      </c>
      <c r="D5" s="5" t="n">
        <v>169900</v>
      </c>
      <c r="F5" s="6" t="inlineStr">
        <is>
          <t>PID-002</t>
        </is>
      </c>
      <c r="G5" s="7">
        <f>XLOOKUP(F5,A5:A9,B5:B9)</f>
        <v/>
      </c>
    </row>
    <row r="6">
      <c r="A6" s="8" t="inlineStr">
        <is>
          <t>PID-002</t>
        </is>
      </c>
      <c r="B6" s="8" t="inlineStr">
        <is>
          <t>Sony PlayStation 5</t>
        </is>
      </c>
      <c r="C6" s="8" t="inlineStr">
        <is>
          <t>Gaming</t>
        </is>
      </c>
      <c r="D6" s="9" t="n">
        <v>54990</v>
      </c>
    </row>
    <row r="7">
      <c r="A7" s="4" t="inlineStr">
        <is>
          <t>PID-003</t>
        </is>
      </c>
      <c r="B7" s="4" t="inlineStr">
        <is>
          <t>Samsung Galaxy Tab S9</t>
        </is>
      </c>
      <c r="C7" s="4" t="inlineStr">
        <is>
          <t>Tablets</t>
        </is>
      </c>
      <c r="D7" s="5" t="n">
        <v>72999</v>
      </c>
    </row>
    <row r="8">
      <c r="A8" s="8" t="inlineStr">
        <is>
          <t>PID-004</t>
        </is>
      </c>
      <c r="B8" s="8" t="inlineStr">
        <is>
          <t>Apple iPhone 15</t>
        </is>
      </c>
      <c r="C8" s="8" t="inlineStr">
        <is>
          <t>Mobiles</t>
        </is>
      </c>
      <c r="D8" s="9" t="n">
        <v>71999</v>
      </c>
    </row>
    <row r="9">
      <c r="A9" s="4" t="inlineStr">
        <is>
          <t>PID-005</t>
        </is>
      </c>
      <c r="B9" s="4" t="inlineStr">
        <is>
          <t>Bose QC 45</t>
        </is>
      </c>
      <c r="C9" s="4" t="inlineStr">
        <is>
          <t>Audio</t>
        </is>
      </c>
      <c r="D9" s="5" t="n">
        <v>26900</v>
      </c>
    </row>
    <row r="10"/>
    <row r="11"/>
    <row r="12">
      <c r="A12" s="2" t="inlineStr">
        <is>
          <t>Task 2: Zomato Last Order Search (Bottom-to-Top: search_mode = -1)</t>
        </is>
      </c>
    </row>
    <row r="13">
      <c r="A13" s="3" t="inlineStr">
        <is>
          <t>Order ID</t>
        </is>
      </c>
      <c r="B13" s="3" t="inlineStr">
        <is>
          <t>Restaurant Name</t>
        </is>
      </c>
      <c r="C13" s="3" t="inlineStr">
        <is>
          <t>Order Date</t>
        </is>
      </c>
      <c r="D13" s="3" t="inlineStr">
        <is>
          <t>Amount (₹)</t>
        </is>
      </c>
      <c r="E13" s="3" t="n"/>
      <c r="F13" s="3" t="inlineStr">
        <is>
          <t>Target Restaurant</t>
        </is>
      </c>
      <c r="G13" s="3" t="inlineStr">
        <is>
          <t>Last Order Amount (=XLOOKUP(F14,B14:B18,D14:D18,"Not Found",0,-1))</t>
        </is>
      </c>
    </row>
    <row r="14">
      <c r="A14" s="8" t="inlineStr">
        <is>
          <t>ZM-101</t>
        </is>
      </c>
      <c r="B14" s="8" t="inlineStr">
        <is>
          <t>Burger King</t>
        </is>
      </c>
      <c r="C14" s="10" t="inlineStr">
        <is>
          <t>2024-03-01</t>
        </is>
      </c>
      <c r="D14" s="9" t="n">
        <v>350</v>
      </c>
      <c r="F14" s="6" t="inlineStr">
        <is>
          <t>Burger King</t>
        </is>
      </c>
      <c r="G14" s="11">
        <f>XLOOKUP(F14,B14:B18,D14:D18,"Not Found",0,-1)</f>
        <v/>
      </c>
    </row>
    <row r="15">
      <c r="A15" s="4" t="inlineStr">
        <is>
          <t>ZM-102</t>
        </is>
      </c>
      <c r="B15" s="4" t="inlineStr">
        <is>
          <t>Subway</t>
        </is>
      </c>
      <c r="C15" s="12" t="inlineStr">
        <is>
          <t>2024-03-02</t>
        </is>
      </c>
      <c r="D15" s="5" t="n">
        <v>420</v>
      </c>
    </row>
    <row r="16">
      <c r="A16" s="8" t="inlineStr">
        <is>
          <t>ZM-103</t>
        </is>
      </c>
      <c r="B16" s="8" t="inlineStr">
        <is>
          <t>Burger King</t>
        </is>
      </c>
      <c r="C16" s="10" t="inlineStr">
        <is>
          <t>2024-03-10</t>
        </is>
      </c>
      <c r="D16" s="9" t="n">
        <v>680</v>
      </c>
    </row>
    <row r="17">
      <c r="A17" s="4" t="inlineStr">
        <is>
          <t>ZM-104</t>
        </is>
      </c>
      <c r="B17" s="4" t="inlineStr">
        <is>
          <t>Pizza Hut</t>
        </is>
      </c>
      <c r="C17" s="12" t="inlineStr">
        <is>
          <t>2024-03-12</t>
        </is>
      </c>
      <c r="D17" s="5" t="n">
        <v>890</v>
      </c>
    </row>
    <row r="18">
      <c r="A18" s="8" t="inlineStr">
        <is>
          <t>ZM-105</t>
        </is>
      </c>
      <c r="B18" s="8" t="inlineStr">
        <is>
          <t>Burger King</t>
        </is>
      </c>
      <c r="C18" s="10" t="inlineStr">
        <is>
          <t>2024-03-25</t>
        </is>
      </c>
      <c r="D18" s="9" t="n">
        <v>520</v>
      </c>
    </row>
    <row r="19"/>
    <row r="20"/>
    <row r="21">
      <c r="A21" s="2" t="inlineStr">
        <is>
          <t>Task 3, 4 &amp; 5: Default Values, Error Handling &amp; Myntra Delivery Lookup</t>
        </is>
      </c>
    </row>
    <row r="22">
      <c r="A22" s="13" t="inlineStr">
        <is>
          <t>Context / Task</t>
        </is>
      </c>
      <c r="B22" s="13" t="inlineStr">
        <is>
          <t>Formula Syntax</t>
        </is>
      </c>
      <c r="C22" s="13" t="inlineStr">
        <is>
          <t>Lookup Input</t>
        </is>
      </c>
      <c r="D22" s="13" t="inlineStr">
        <is>
          <t>Returned Result</t>
        </is>
      </c>
    </row>
    <row r="23">
      <c r="A23" s="4" t="inlineStr">
        <is>
          <t>Task 3: Spotify (If Not Found)</t>
        </is>
      </c>
      <c r="B23" s="4">
        <f>XLOOKUP("Jazz",B25:B30,A25:A30,"No playlist available")</f>
        <v/>
      </c>
      <c r="C23" s="4" t="inlineStr">
        <is>
          <t>Jazz</t>
        </is>
      </c>
      <c r="D23" s="4" t="inlineStr">
        <is>
          <t>No playlist available</t>
        </is>
      </c>
    </row>
    <row r="24">
      <c r="A24" s="8" t="inlineStr">
        <is>
          <t>Task 4: IRCTC Booking Status</t>
        </is>
      </c>
      <c r="B24" s="8">
        <f>XLOOKUP("PNR-999",A35:A40,D35:D40,"Booking Not Found")</f>
        <v/>
      </c>
      <c r="C24" s="8" t="inlineStr">
        <is>
          <t>PNR-999 (Invalid)</t>
        </is>
      </c>
      <c r="D24" s="8" t="inlineStr">
        <is>
          <t>Booking Not Found</t>
        </is>
      </c>
    </row>
    <row r="25">
      <c r="A25" s="4" t="inlineStr">
        <is>
          <t>Task 5: Myntra Delivery Date</t>
        </is>
      </c>
      <c r="B25" s="4">
        <f>XLOOKUP("MYN-8802",A45:A55,E45:E55,"Invalid Order ID")</f>
        <v/>
      </c>
      <c r="C25" s="4" t="inlineStr">
        <is>
          <t>MYN-8802</t>
        </is>
      </c>
      <c r="D25" s="4" t="inlineStr">
        <is>
          <t>2024-04-02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2026-09-02T06:19:06Z</dcterms:created>
  <dcterms:modified xmlns:dcterms="http://purl.org/dc/terms/" xmlns:xsi="http://www.w3.org/2001/XMLSchema-instance" xsi:type="dcterms:W3CDTF">2026-09-02T06:19:06Z</dcterms:modified>
</cp:coreProperties>
</file>